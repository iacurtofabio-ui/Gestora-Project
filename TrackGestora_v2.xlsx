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2.xml" ContentType="application/vnd.openxmlformats-officedocument.spreadsheetml.worksheet+xml"/>
  <Override PartName="/xl/tables/table7.xml" ContentType="application/vnd.openxmlformats-officedocument.spreadsheetml.table+xml"/>
  <Override PartName="/xl/worksheets/sheet3.xml" ContentType="application/vnd.openxmlformats-officedocument.spreadsheetml.worksheet+xml"/>
  <Override PartName="/xl/tables/table8.xml" ContentType="application/vnd.openxmlformats-officedocument.spreadsheetml.table+xml"/>
  <Override PartName="/xl/worksheets/sheet4.xml" ContentType="application/vnd.openxmlformats-officedocument.spreadsheetml.worksheet+xml"/>
  <Override PartName="/xl/tables/table9.xml" ContentType="application/vnd.openxmlformats-officedocument.spreadsheetml.table+xml"/>
  <Override PartName="/xl/worksheets/sheet5.xml" ContentType="application/vnd.openxmlformats-officedocument.spreadsheetml.worksheet+xml"/>
  <Override PartName="/xl/tables/table10.xml" ContentType="application/vnd.openxmlformats-officedocument.spreadsheetml.table+xml"/>
  <Override PartName="/xl/worksheets/sheet6.xml" ContentType="application/vnd.openxmlformats-officedocument.spreadsheetml.worksheet+xml"/>
  <Override PartName="/xl/tables/table11.xml" ContentType="application/vnd.openxmlformats-officedocument.spreadsheetml.table+xml"/>
  <Override PartName="/xl/worksheets/sheet7.xml" ContentType="application/vnd.openxmlformats-officedocument.spreadsheetml.worksheet+xml"/>
  <Override PartName="/xl/tables/table12.xml" ContentType="application/vnd.openxmlformats-officedocument.spreadsheetml.table+xml"/>
  <Override PartName="/xl/worksheets/sheet8.xml" ContentType="application/vnd.openxmlformats-officedocument.spreadsheetml.worksheet+xml"/>
  <Override PartName="/xl/tables/table13.xml" ContentType="application/vnd.openxmlformats-officedocument.spreadsheetml.table+xml"/>
  <Override PartName="/xl/worksheets/sheet9.xml" ContentType="application/vnd.openxmlformats-officedocument.spreadsheetml.worksheet+xml"/>
  <Override PartName="/xl/tables/table14.xml" ContentType="application/vnd.openxmlformats-officedocument.spreadsheetml.table+xml"/>
  <Override PartName="/xl/worksheets/sheet10.xml" ContentType="application/vnd.openxmlformats-officedocument.spreadsheetml.worksheet+xml"/>
  <Override PartName="/xl/tables/table15.xml" ContentType="application/vnd.openxmlformats-officedocument.spreadsheetml.table+xml"/>
  <Override PartName="/xl/worksheets/sheet11.xml" ContentType="application/vnd.openxmlformats-officedocument.spreadsheetml.worksheet+xml"/>
  <Override PartName="/xl/tables/table16.xml" ContentType="application/vnd.openxmlformats-officedocument.spreadsheetml.table+xml"/>
  <Override PartName="/xl/worksheets/sheet12.xml" ContentType="application/vnd.openxmlformats-officedocument.spreadsheetml.worksheet+xml"/>
  <Override PartName="/xl/tables/table17.xml" ContentType="application/vnd.openxmlformats-officedocument.spreadsheetml.table+xml"/>
  <Override PartName="/xl/worksheets/sheet13.xml" ContentType="application/vnd.openxmlformats-officedocument.spreadsheetml.worksheet+xml"/>
  <Override PartName="/xl/tables/table18.xml" ContentType="application/vnd.openxmlformats-officedocument.spreadsheetml.table+xml"/>
  <Override PartName="/xl/worksheets/sheet14.xml" ContentType="application/vnd.openxmlformats-officedocument.spreadsheetml.worksheet+xml"/>
  <Override PartName="/xl/tables/table19.xml" ContentType="application/vnd.openxmlformats-officedocument.spreadsheetml.table+xml"/>
  <Override PartName="/xl/worksheets/sheet15.xml" ContentType="application/vnd.openxmlformats-officedocument.spreadsheetml.worksheet+xml"/>
  <Override PartName="/xl/tables/table20.xml" ContentType="application/vnd.openxmlformats-officedocument.spreadsheetml.table+xml"/>
  <Override PartName="/xl/worksheets/sheet16.xml" ContentType="application/vnd.openxmlformats-officedocument.spreadsheetml.worksheet+xml"/>
  <Override PartName="/xl/tables/table21.xml" ContentType="application/vnd.openxmlformats-officedocument.spreadsheetml.table+xml"/>
  <Override PartName="/xl/worksheets/sheet17.xml" ContentType="application/vnd.openxmlformats-officedocument.spreadsheetml.worksheet+xml"/>
  <Override PartName="/xl/tables/table22.xml" ContentType="application/vnd.openxmlformats-officedocument.spreadsheetml.table+xml"/>
  <Override PartName="/xl/worksheets/sheet18.xml" ContentType="application/vnd.openxmlformats-officedocument.spreadsheetml.worksheet+xml"/>
  <Override PartName="/xl/tables/table23.xml" ContentType="application/vnd.openxmlformats-officedocument.spreadsheetml.table+xml"/>
  <Override PartName="/xl/worksheets/sheet19.xml" ContentType="application/vnd.openxmlformats-officedocument.spreadsheetml.worksheet+xml"/>
  <Override PartName="/xl/tables/table24.xml" ContentType="application/vnd.openxmlformats-officedocument.spreadsheetml.table+xml"/>
  <Override PartName="/xl/worksheets/sheet20.xml" ContentType="application/vnd.openxmlformats-officedocument.spreadsheetml.worksheet+xml"/>
  <Override PartName="/xl/tables/table2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E · Models" sheetId="2" state="visible" r:id="rId2"/>
    <sheet xmlns:r="http://schemas.openxmlformats.org/officeDocument/2006/relationships" name="BE · DTO" sheetId="3" state="visible" r:id="rId3"/>
    <sheet xmlns:r="http://schemas.openxmlformats.org/officeDocument/2006/relationships" name="BE · Repository" sheetId="4" state="visible" r:id="rId4"/>
    <sheet xmlns:r="http://schemas.openxmlformats.org/officeDocument/2006/relationships" name="BE · Services" sheetId="5" state="visible" r:id="rId5"/>
    <sheet xmlns:r="http://schemas.openxmlformats.org/officeDocument/2006/relationships" name="BE · Controllers" sheetId="6" state="visible" r:id="rId6"/>
    <sheet xmlns:r="http://schemas.openxmlformats.org/officeDocument/2006/relationships" name="BE · Method" sheetId="7" state="visible" r:id="rId7"/>
    <sheet xmlns:r="http://schemas.openxmlformats.org/officeDocument/2006/relationships" name="BE · Validators" sheetId="8" state="visible" r:id="rId8"/>
    <sheet xmlns:r="http://schemas.openxmlformats.org/officeDocument/2006/relationships" name="BE · Infrastruttura" sheetId="9" state="visible" r:id="rId9"/>
    <sheet xmlns:r="http://schemas.openxmlformats.org/officeDocument/2006/relationships" name="BE · Test" sheetId="10" state="visible" r:id="rId10"/>
    <sheet xmlns:r="http://schemas.openxmlformats.org/officeDocument/2006/relationships" name="BE · Auth e Security" sheetId="11" state="visible" r:id="rId11"/>
    <sheet xmlns:r="http://schemas.openxmlformats.org/officeDocument/2006/relationships" name="BE · Jobs" sheetId="12" state="visible" r:id="rId12"/>
    <sheet xmlns:r="http://schemas.openxmlformats.org/officeDocument/2006/relationships" name="BE · Migration" sheetId="13" state="visible" r:id="rId13"/>
    <sheet xmlns:r="http://schemas.openxmlformats.org/officeDocument/2006/relationships" name="FE · Pagine" sheetId="14" state="visible" r:id="rId14"/>
    <sheet xmlns:r="http://schemas.openxmlformats.org/officeDocument/2006/relationships" name="FE · Componenti" sheetId="15" state="visible" r:id="rId15"/>
    <sheet xmlns:r="http://schemas.openxmlformats.org/officeDocument/2006/relationships" name="FE · Hook e API" sheetId="16" state="visible" r:id="rId16"/>
    <sheet xmlns:r="http://schemas.openxmlformats.org/officeDocument/2006/relationships" name="FE · Auth" sheetId="17" state="visible" r:id="rId17"/>
    <sheet xmlns:r="http://schemas.openxmlformats.org/officeDocument/2006/relationships" name="FE · Test" sheetId="18" state="visible" r:id="rId18"/>
    <sheet xmlns:r="http://schemas.openxmlformats.org/officeDocument/2006/relationships" name="Appunti e Step" sheetId="19" state="visible" r:id="rId19"/>
    <sheet xmlns:r="http://schemas.openxmlformats.org/officeDocument/2006/relationships" name="Fix e Bug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595959"/>
      <sz val="10"/>
    </font>
    <font>
      <name val="Segoe UI"/>
      <color rgb="000563C1"/>
      <sz val="10"/>
      <u val="single"/>
    </font>
    <font>
      <name val="Segoe UI"/>
      <b val="1"/>
      <color rgb="00FFFFFF"/>
      <sz val="10"/>
    </font>
    <font>
      <name val="Segoe UI"/>
      <sz val="10"/>
    </font>
    <font>
      <name val="Segoe UI"/>
      <b val="1"/>
      <color rgb="00595959"/>
      <sz val="10"/>
    </font>
    <font>
      <name val="Segoe UI"/>
      <b val="1"/>
      <color rgb="002E5FAD"/>
      <sz val="12"/>
    </font>
    <font>
      <name val="Segoe UI"/>
      <b val="1"/>
      <color rgb="002E7D32"/>
      <sz val="12"/>
    </font>
    <font>
      <name val="Segoe UI"/>
      <b val="1"/>
      <color rgb="00FFFFFF"/>
      <sz val="18"/>
    </font>
    <font>
      <name val="Segoe UI"/>
      <b val="1"/>
      <color rgb="00FFFFFF"/>
      <sz val="9"/>
    </font>
    <font>
      <name val="Segoe UI"/>
      <b val="1"/>
      <color rgb="002E5FAD"/>
      <sz val="24"/>
    </font>
    <font>
      <name val="Segoe UI"/>
      <b val="1"/>
      <color rgb="002E7D32"/>
      <sz val="24"/>
    </font>
    <font>
      <name val="Segoe UI"/>
      <b val="1"/>
      <color rgb="00C00000"/>
      <sz val="24"/>
    </font>
    <font>
      <name val="Segoe UI"/>
      <b val="1"/>
      <color rgb="001F3864"/>
      <sz val="12"/>
    </font>
    <font>
      <name val="Segoe UI"/>
      <b val="1"/>
      <color rgb="001F4E79"/>
      <sz val="10"/>
    </font>
    <font>
      <name val="Segoe UI"/>
      <b val="1"/>
      <color rgb="00006100"/>
      <sz val="10"/>
    </font>
    <font>
      <name val="Segoe UI"/>
      <b val="1"/>
      <color rgb="007F6000"/>
      <sz val="10"/>
    </font>
  </fonts>
  <fills count="1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1B5E20"/>
        <bgColor rgb="001B5E20"/>
      </patternFill>
    </fill>
    <fill>
      <patternFill patternType="solid">
        <fgColor rgb="008A3B0B"/>
        <bgColor rgb="008A3B0B"/>
      </patternFill>
    </fill>
    <fill>
      <patternFill patternType="solid">
        <fgColor rgb="001F2937"/>
        <bgColor rgb="001F2937"/>
      </patternFill>
    </fill>
    <fill>
      <patternFill patternType="solid">
        <fgColor rgb="002E5FAD"/>
        <bgColor rgb="002E5FAD"/>
      </patternFill>
    </fill>
    <fill>
      <patternFill patternType="solid">
        <fgColor rgb="00F7F9FC"/>
        <bgColor rgb="00F7F9FC"/>
      </patternFill>
    </fill>
    <fill>
      <patternFill patternType="solid">
        <fgColor rgb="002E7D32"/>
        <bgColor rgb="002E7D32"/>
      </patternFill>
    </fill>
    <fill>
      <patternFill patternType="solid">
        <fgColor rgb="00C00000"/>
        <bgColor rgb="00C00000"/>
      </patternFill>
    </fill>
    <fill>
      <patternFill patternType="solid">
        <fgColor rgb="00DDEBF7"/>
        <bgColor rgb="00DDEBF7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E7E6E6"/>
        <bgColor rgb="00E7E6E6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9" fillId="5" borderId="0" applyAlignment="1" pivotButton="0" quotePrefix="0" xfId="0">
      <alignment vertical="center" indent="1"/>
    </xf>
    <xf numFmtId="0" fontId="0" fillId="5" borderId="0" pivotButton="0" quotePrefix="0" xfId="0"/>
    <xf numFmtId="0" fontId="2" fillId="0" borderId="0" pivotButton="0" quotePrefix="0" xfId="0"/>
    <xf numFmtId="0" fontId="10" fillId="6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2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6" fillId="11" borderId="0" applyAlignment="1" pivotButton="0" quotePrefix="0" xfId="0">
      <alignment vertical="top" wrapText="1"/>
    </xf>
    <xf numFmtId="0" fontId="17" fillId="12" borderId="0" applyAlignment="1" pivotButton="0" quotePrefix="0" xfId="0">
      <alignment vertical="top" wrapText="1"/>
    </xf>
    <xf numFmtId="0" fontId="6" fillId="13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0" borderId="0" applyAlignment="1" pivotButton="0" quotePrefix="0" xfId="0">
      <alignment horizontal="right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/>
    </xf>
    <xf numFmtId="0" fontId="6" fillId="0" borderId="0" pivotButton="0" quotePrefix="0" xfId="0"/>
    <xf numFmtId="0" fontId="7" fillId="0" borderId="0" applyAlignment="1" pivotButton="0" quotePrefix="0" xfId="0">
      <alignment horizontal="left"/>
    </xf>
    <xf numFmtId="165" fontId="5" fillId="0" borderId="0" applyAlignment="1" pivotButton="0" quotePrefix="0" xfId="0">
      <alignment vertical="top"/>
    </xf>
    <xf numFmtId="0" fontId="1" fillId="3" borderId="0" applyAlignment="1" pivotButton="0" quotePrefix="0" xfId="0">
      <alignment vertical="center" indent="1"/>
    </xf>
    <xf numFmtId="0" fontId="0" fillId="3" borderId="0" pivotButton="0" quotePrefix="0" xfId="0"/>
    <xf numFmtId="0" fontId="8" fillId="0" borderId="0" applyAlignment="1" pivotButton="0" quotePrefix="0" xfId="0">
      <alignment horizontal="left"/>
    </xf>
    <xf numFmtId="0" fontId="1" fillId="4" borderId="0" applyAlignment="1" pivotButton="0" quotePrefix="0" xfId="0">
      <alignment vertical="center" indent="1"/>
    </xf>
    <xf numFmtId="0" fontId="0" fillId="4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6">
    <dxf>
      <font>
        <name val="Segoe UI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595959"/>
      </font>
      <fill>
        <patternFill patternType="solid">
          <fgColor rgb="00E7E6E6"/>
          <bgColor rgb="00E7E6E6"/>
        </patternFill>
      </fill>
    </dxf>
    <dxf>
      <font>
        <name val="Segoe UI"/>
        <b val="1"/>
        <color rgb="001F4E79"/>
      </font>
      <fill>
        <patternFill patternType="solid">
          <fgColor rgb="00DDEBF7"/>
          <bgColor rgb="00DDEBF7"/>
        </patternFill>
      </fill>
    </dxf>
    <dxf>
      <font>
        <name val="Segoe UI"/>
        <b val="1"/>
        <color rgb="005B3E87"/>
      </font>
      <fill>
        <patternFill patternType="solid">
          <fgColor rgb="00E4DFEC"/>
          <bgColor rgb="00E4DFEC"/>
        </patternFill>
      </fill>
    </dxf>
    <dxf>
      <font>
        <name val="Segoe UI"/>
        <b val="1"/>
        <color rgb="007F6000"/>
      </font>
      <fill>
        <patternFill patternType="solid">
          <fgColor rgb="00FFEB9C"/>
          <bgColor rgb="00FFEB9C"/>
        </patternFill>
      </fill>
    </dxf>
    <dxf>
      <font>
        <name val="Segoe UI"/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style val="10"/>
  <chart>
    <plotArea>
      <barChart>
        <barDir val="bar"/>
        <grouping val="clustered"/>
        <varyColors val="0"/>
        <ser>
          <idx val="0"/>
          <order val="0"/>
          <tx>
            <strRef>
              <f>'Dashboard'!D8</f>
            </strRef>
          </tx>
          <spPr>
            <a:solidFill xmlns:a="http://schemas.openxmlformats.org/drawingml/2006/main">
              <a:srgbClr val="2E5FAD"/>
            </a:solidFill>
            <a:ln xmlns:a="http://schemas.openxmlformats.org/drawingml/2006/main">
              <a:solidFill>
                <a:srgbClr val="2E5FAD"/>
              </a:solidFill>
              <a:prstDash val="solid"/>
            </a:ln>
          </spPr>
          <cat>
            <numRef>
              <f>'Dashboard'!$A$9:$A$27</f>
            </numRef>
          </cat>
          <val>
            <numRef>
              <f>'Dashboard'!$D$9:$D$27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7</row>
      <rowOff>0</rowOff>
    </from>
    <ext cx="61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Indice" displayName="Indice" ref="A8:D27" headerRowCount="1">
  <autoFilter ref="A8:D27"/>
  <tableColumns count="4">
    <tableColumn id="1" name="Foglio"/>
    <tableColumn id="2" name="Lato"/>
    <tableColumn id="3" name="Cosa contiene"/>
    <tableColumn id="4" name="Righe"/>
  </tableColumns>
  <tableStyleInfo name="TableStyleMedium2" showRowStripes="1"/>
</table>
</file>

<file path=xl/tables/table2.xml><?xml version="1.0" encoding="utf-8"?>
<table xmlns="http://schemas.openxmlformats.org/spreadsheetml/2006/main" id="2" name="FixPerStato" displayName="FixPerStato" ref="F35:G39" headerRowCount="1">
  <autoFilter ref="F35:G39"/>
  <tableColumns count="2">
    <tableColumn id="6" name="Stato"/>
    <tableColumn id="7" name="Quanti"/>
  </tableColumns>
  <tableStyleInfo name="TableStyleLight9" showRowStripes="1"/>
</table>
</file>

<file path=xl/tables/table3.xml><?xml version="1.0" encoding="utf-8"?>
<table xmlns="http://schemas.openxmlformats.org/spreadsheetml/2006/main" id="3" name="FixPerGravita" displayName="FixPerGravita" ref="H35:I38" headerRowCount="1">
  <autoFilter ref="H35:I38"/>
  <tableColumns count="2">
    <tableColumn id="8" name="Gravità"/>
    <tableColumn id="9" name="Aperti"/>
  </tableColumns>
  <tableStyleInfo name="TableStyleLight9" showRowStripes="1"/>
</table>
</file>

<file path=xl/tables/table4.xml><?xml version="1.0" encoding="utf-8"?>
<table xmlns="http://schemas.openxmlformats.org/spreadsheetml/2006/main" id="4" name="Ambienti" displayName="Ambienti" ref="A30:C36" headerRowCount="1">
  <autoFilter ref="A30:C36"/>
  <tableColumns count="3">
    <tableColumn id="1" name="Ambiente"/>
    <tableColumn id="2" name="Dove"/>
    <tableColumn id="3" name="Indirizzo"/>
  </tableColumns>
  <tableStyleInfo name="TableStyleLight9" showRowStripes="1"/>
</table>
</file>

<file path=xl/tables/table5.xml><?xml version="1.0" encoding="utf-8"?>
<table xmlns="http://schemas.openxmlformats.org/spreadsheetml/2006/main" id="5" name="Stack" displayName="Stack" ref="A39:C60" headerRowCount="1">
  <autoFilter ref="A39:C60"/>
  <tableColumns count="3">
    <tableColumn id="1" name="Tecnologia"/>
    <tableColumn id="2" name="Versione"/>
    <tableColumn id="3" name="Lato"/>
  </tableColumns>
  <tableStyleInfo name="TableStyleLight9" showRowStripes="1"/>
</table>
</file>

<file path=xl/tables/table6.xml><?xml version="1.0" encoding="utf-8"?>
<table xmlns="http://schemas.openxmlformats.org/spreadsheetml/2006/main" id="6" name="DoveStaCosa" displayName="DoveStaCosa" ref="A63:C68" headerRowCount="1">
  <autoFilter ref="A63:C68"/>
  <tableColumns count="3">
    <tableColumn id="1" name="Cerchi…"/>
    <tableColumn id="2" name="File"/>
    <tableColumn id="3" name="Dove"/>
  </tableColumns>
  <tableStyleInfo name="TableStyleLight9" showRowStripes="1"/>
</table>
</file>

<file path=xl/tables/table7.xml><?xml version="1.0" encoding="utf-8"?>
<table xmlns="http://schemas.openxmlformats.org/spreadsheetml/2006/main" id="7" name="BE_Models" displayName="BE_Models" ref="A4:F48" headerRowCount="1">
  <autoFilter ref="A4:F48"/>
  <tableColumns count="6">
    <tableColumn id="1" name="Entità"/>
    <tableColumn id="2" name="Tabella"/>
    <tableColumn id="3" name="Campo"/>
    <tableColumn id="4" name="Tipo"/>
    <tableColumn id="5" name="Obbligatorio"/>
    <tableColumn id="6" name="Note"/>
  </tableColumns>
  <tableStyleInfo name="TableStyleMedium2" showRowStripes="1"/>
</table>
</file>

<file path=xl/tables/table8.xml><?xml version="1.0" encoding="utf-8"?>
<table xmlns="http://schemas.openxmlformats.org/spreadsheetml/2006/main" id="8" name="BE_DTO" displayName="BE_DTO" ref="A4:D36" headerRowCount="1">
  <autoFilter ref="A4:D36"/>
  <tableColumns count="4">
    <tableColumn id="1" name="DTO"/>
    <tableColumn id="2" name="Area"/>
    <tableColumn id="3" name="Serve a"/>
    <tableColumn id="4" name="Campi principali"/>
  </tableColumns>
  <tableStyleInfo name="TableStyleMedium2" showRowStripes="1"/>
</table>
</file>

<file path=xl/tables/table9.xml><?xml version="1.0" encoding="utf-8"?>
<table xmlns="http://schemas.openxmlformats.org/spreadsheetml/2006/main" id="9" name="BE_Repository" displayName="BE_Repository" ref="A4:D47" headerRowCount="1">
  <autoFilter ref="A4:D47"/>
  <tableColumns count="4">
    <tableColumn id="1" name="Repository"/>
    <tableColumn id="2" name="Metodo"/>
    <tableColumn id="3" name="Cosa fa"/>
    <tableColumn id="4" name="Note"/>
  </tableColumns>
  <tableStyleInfo name="TableStyleMedium2" showRowStripes="1"/>
</table>
</file>

<file path=xl/tables/table10.xml><?xml version="1.0" encoding="utf-8"?>
<table xmlns="http://schemas.openxmlformats.org/spreadsheetml/2006/main" id="10" name="BE_Services" displayName="BE_Services" ref="A4:F20" headerRowCount="1">
  <autoFilter ref="A4:F20"/>
  <tableColumns count="6">
    <tableColumn id="1" name="Servizio"/>
    <tableColumn id="2" name="Tipo"/>
    <tableColumn id="3" name="Cosa fa"/>
    <tableColumn id="4" name="Usa"/>
    <tableColumn id="5" name="Cache"/>
    <tableColumn id="6" name="Note"/>
  </tableColumns>
  <tableStyleInfo name="TableStyleMedium2" showRowStripes="1"/>
</table>
</file>

<file path=xl/tables/table11.xml><?xml version="1.0" encoding="utf-8"?>
<table xmlns="http://schemas.openxmlformats.org/spreadsheetml/2006/main" id="11" name="BE_Controllers" displayName="BE_Controllers" ref="A4:G58" headerRowCount="1">
  <autoFilter ref="A4:G58"/>
  <tableColumns count="7">
    <tableColumn id="1" name="Controller"/>
    <tableColumn id="2" name="Verbo"/>
    <tableColumn id="3" name="Route"/>
    <tableColumn id="4" name="Chi può"/>
    <tableColumn id="5" name="Metodo"/>
    <tableColumn id="6" name="Cosa fa"/>
    <tableColumn id="7" name="Limite"/>
  </tableColumns>
  <tableStyleInfo name="TableStyleMedium2" showRowStripes="1"/>
</table>
</file>

<file path=xl/tables/table12.xml><?xml version="1.0" encoding="utf-8"?>
<table xmlns="http://schemas.openxmlformats.org/spreadsheetml/2006/main" id="12" name="BE_Method" displayName="BE_Method" ref="A4:E69" headerRowCount="1">
  <autoFilter ref="A4:E69"/>
  <tableColumns count="5">
    <tableColumn id="1" name="Classe"/>
    <tableColumn id="2" name="Metodo"/>
    <tableColumn id="3" name="Visibilità"/>
    <tableColumn id="4" name="Cosa fa"/>
    <tableColumn id="5" name="Chiamato da"/>
  </tableColumns>
  <tableStyleInfo name="TableStyleMedium2" showRowStripes="1"/>
</table>
</file>

<file path=xl/tables/table13.xml><?xml version="1.0" encoding="utf-8"?>
<table xmlns="http://schemas.openxmlformats.org/spreadsheetml/2006/main" id="13" name="BE_Validators" displayName="BE_Validators" ref="A4:C13" headerRowCount="1">
  <autoFilter ref="A4:C13"/>
  <tableColumns count="3">
    <tableColumn id="1" name="Validatore"/>
    <tableColumn id="2" name="Controlla"/>
    <tableColumn id="3" name="Regole principali"/>
  </tableColumns>
  <tableStyleInfo name="TableStyleMedium2" showRowStripes="1"/>
</table>
</file>

<file path=xl/tables/table14.xml><?xml version="1.0" encoding="utf-8"?>
<table xmlns="http://schemas.openxmlformats.org/spreadsheetml/2006/main" id="14" name="BE_Infrastruttura" displayName="BE_Infrastruttura" ref="A4:C34" headerRowCount="1">
  <autoFilter ref="A4:C34"/>
  <tableColumns count="3">
    <tableColumn id="1" name="Componente"/>
    <tableColumn id="2" name="Tipo"/>
    <tableColumn id="3" name="Cosa fa"/>
  </tableColumns>
  <tableStyleInfo name="TableStyleMedium2" showRowStripes="1"/>
</table>
</file>

<file path=xl/tables/table15.xml><?xml version="1.0" encoding="utf-8"?>
<table xmlns="http://schemas.openxmlformats.org/spreadsheetml/2006/main" id="15" name="BE_Test" displayName="BE_Test" ref="A4:E26" headerRowCount="1">
  <autoFilter ref="A4:E26"/>
  <tableColumns count="5">
    <tableColumn id="1" name="Classe di test"/>
    <tableColumn id="2" name="Cosa prova"/>
    <tableColumn id="3" name="Tecnica"/>
    <tableColumn id="4" name="N. test"/>
    <tableColumn id="5" name="Note"/>
  </tableColumns>
  <tableStyleInfo name="TableStyleMedium2" showRowStripes="1"/>
</table>
</file>

<file path=xl/tables/table16.xml><?xml version="1.0" encoding="utf-8"?>
<table xmlns="http://schemas.openxmlformats.org/spreadsheetml/2006/main" id="16" name="BE_Auth_e_Security" displayName="BE_Auth_e_Security" ref="A4:C29" headerRowCount="1">
  <autoFilter ref="A4:C29"/>
  <tableColumns count="3">
    <tableColumn id="1" name="Sezione"/>
    <tableColumn id="2" name="Voce"/>
    <tableColumn id="3" name="Come funziona"/>
  </tableColumns>
  <tableStyleInfo name="TableStyleMedium2" showRowStripes="1"/>
</table>
</file>

<file path=xl/tables/table17.xml><?xml version="1.0" encoding="utf-8"?>
<table xmlns="http://schemas.openxmlformats.org/spreadsheetml/2006/main" id="17" name="BE_Jobs" displayName="BE_Jobs" ref="A4:F6" headerRowCount="1">
  <autoFilter ref="A4:F6"/>
  <tableColumns count="6">
    <tableColumn id="1" name="Job"/>
    <tableColumn id="2" name="Quando"/>
    <tableColumn id="3" name="Cron"/>
    <tableColumn id="4" name="Cosa fa"/>
    <tableColumn id="5" name="Metodo chiamato"/>
    <tableColumn id="6" name="Come forzarlo (Admin)"/>
  </tableColumns>
  <tableStyleInfo name="TableStyleMedium2" showRowStripes="1"/>
</table>
</file>

<file path=xl/tables/table18.xml><?xml version="1.0" encoding="utf-8"?>
<table xmlns="http://schemas.openxmlformats.org/spreadsheetml/2006/main" id="18" name="BE_Migration" displayName="BE_Migration" ref="A4:G11" headerRowCount="1">
  <autoFilter ref="A4:G11"/>
  <tableColumns count="7">
    <tableColumn id="1" name="N."/>
    <tableColumn id="2" name="Nome migration"/>
    <tableColumn id="3" name="Data"/>
    <tableColumn id="4" name="Cosa cambia"/>
    <tableColumn id="5" name="Locale"/>
    <tableColumn id="6" name="Produzione"/>
    <tableColumn id="7" name="Note"/>
  </tableColumns>
  <tableStyleInfo name="TableStyleMedium2" showRowStripes="1"/>
</table>
</file>

<file path=xl/tables/table19.xml><?xml version="1.0" encoding="utf-8"?>
<table xmlns="http://schemas.openxmlformats.org/spreadsheetml/2006/main" id="19" name="FE_Pagine" displayName="FE_Pagine" ref="A4:D16" headerRowCount="1">
  <autoFilter ref="A4:D16"/>
  <tableColumns count="4">
    <tableColumn id="1" name="Indirizzo"/>
    <tableColumn id="2" name="Pagina"/>
    <tableColumn id="3" name="Chi la vede"/>
    <tableColumn id="4" name="Cosa fa"/>
  </tableColumns>
  <tableStyleInfo name="TableStyleMedium4" showRowStripes="1"/>
</table>
</file>

<file path=xl/tables/table20.xml><?xml version="1.0" encoding="utf-8"?>
<table xmlns="http://schemas.openxmlformats.org/spreadsheetml/2006/main" id="20" name="FE_Componenti" displayName="FE_Componenti" ref="A4:D32" headerRowCount="1">
  <autoFilter ref="A4:D32"/>
  <tableColumns count="4">
    <tableColumn id="1" name="Componente"/>
    <tableColumn id="2" name="Tipo"/>
    <tableColumn id="3" name="Cosa fa"/>
    <tableColumn id="4" name="Usato in"/>
  </tableColumns>
  <tableStyleInfo name="TableStyleMedium4" showRowStripes="1"/>
</table>
</file>

<file path=xl/tables/table21.xml><?xml version="1.0" encoding="utf-8"?>
<table xmlns="http://schemas.openxmlformats.org/spreadsheetml/2006/main" id="21" name="FE_Hook_e_API" displayName="FE_Hook_e_API" ref="A4:F43" headerRowCount="1">
  <autoFilter ref="A4:F43"/>
  <tableColumns count="6">
    <tableColumn id="1" name="Hook"/>
    <tableColumn id="2" name="Area"/>
    <tableColumn id="3" name="Verbo"/>
    <tableColumn id="4" name="Endpoint"/>
    <tableColumn id="5" name="Cosa fa"/>
    <tableColumn id="6" name="File"/>
  </tableColumns>
  <tableStyleInfo name="TableStyleMedium4" showRowStripes="1"/>
</table>
</file>

<file path=xl/tables/table22.xml><?xml version="1.0" encoding="utf-8"?>
<table xmlns="http://schemas.openxmlformats.org/spreadsheetml/2006/main" id="22" name="FE_Auth" displayName="FE_Auth" ref="A4:C17" headerRowCount="1">
  <autoFilter ref="A4:C17"/>
  <tableColumns count="3">
    <tableColumn id="1" name="Voce"/>
    <tableColumn id="2" name="Dove"/>
    <tableColumn id="3" name="Come funziona"/>
  </tableColumns>
  <tableStyleInfo name="TableStyleMedium4" showRowStripes="1"/>
</table>
</file>

<file path=xl/tables/table23.xml><?xml version="1.0" encoding="utf-8"?>
<table xmlns="http://schemas.openxmlformats.org/spreadsheetml/2006/main" id="23" name="FE_Test" displayName="FE_Test" ref="A4:C13" headerRowCount="1">
  <autoFilter ref="A4:C13"/>
  <tableColumns count="3">
    <tableColumn id="1" name="File di test"/>
    <tableColumn id="2" name="Cosa prova"/>
    <tableColumn id="3" name="N. test"/>
  </tableColumns>
  <tableStyleInfo name="TableStyleMedium4" showRowStripes="1"/>
</table>
</file>

<file path=xl/tables/table24.xml><?xml version="1.0" encoding="utf-8"?>
<table xmlns="http://schemas.openxmlformats.org/spreadsheetml/2006/main" id="24" name="Appunti_e_Step" displayName="Appunti_e_Step" ref="A4:F34" headerRowCount="1">
  <autoFilter ref="A4:F34"/>
  <tableColumns count="6">
    <tableColumn id="1" name="Data"/>
    <tableColumn id="2" name="Area"/>
    <tableColumn id="3" name="Cosa si è fatto"/>
    <tableColumn id="4" name="Prossimo passo"/>
    <tableColumn id="5" name="Stato"/>
    <tableColumn id="6" name="Note"/>
  </tableColumns>
  <tableStyleInfo name="TableStyleMedium7" showRowStripes="1"/>
</table>
</file>

<file path=xl/tables/table25.xml><?xml version="1.0" encoding="utf-8"?>
<table xmlns="http://schemas.openxmlformats.org/spreadsheetml/2006/main" id="25" name="Fix_e_Bug" displayName="Fix_e_Bug" ref="A4:I34" headerRowCount="1">
  <autoFilter ref="A4:I34"/>
  <tableColumns count="9">
    <tableColumn id="1" name="ID"/>
    <tableColumn id="2" name="Data"/>
    <tableColumn id="3" name="Area"/>
    <tableColumn id="4" name="Dove"/>
    <tableColumn id="5" name="Problema"/>
    <tableColumn id="6" name="Gravità"/>
    <tableColumn id="7" name="Soluzione"/>
    <tableColumn id="8" name="Stato"/>
    <tableColumn id="9" name="Chiuso il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estora-project-xi.vercel.app" TargetMode="External" Id="rId1"/><Relationship Type="http://schemas.openxmlformats.org/officeDocument/2006/relationships/hyperlink" Target="https://gestora-api-emdvdqegg7g8gmaq.canadacentral-01.azurewebsites.net/health" TargetMode="External" Id="rId2"/><Relationship Type="http://schemas.openxmlformats.org/officeDocument/2006/relationships/hyperlink" Target="http://localhost:5173" TargetMode="External" Id="rId3"/><Relationship Type="http://schemas.openxmlformats.org/officeDocument/2006/relationships/hyperlink" Target="http://localhost:5099" TargetMode="External" Id="rId4"/><Relationship Type="http://schemas.openxmlformats.org/officeDocument/2006/relationships/drawing" Target="/xl/drawings/drawing1.xml" Id="rId5"/><Relationship Type="http://schemas.openxmlformats.org/officeDocument/2006/relationships/table" Target="/xl/tables/table1.xml" Id="rId6"/><Relationship Type="http://schemas.openxmlformats.org/officeDocument/2006/relationships/table" Target="/xl/tables/table2.xml" Id="rId7"/><Relationship Type="http://schemas.openxmlformats.org/officeDocument/2006/relationships/table" Target="/xl/tables/table3.xml" Id="rId8"/><Relationship Type="http://schemas.openxmlformats.org/officeDocument/2006/relationships/table" Target="/xl/tables/table4.xml" Id="rId9"/><Relationship Type="http://schemas.openxmlformats.org/officeDocument/2006/relationships/table" Target="/xl/tables/table5.xml" Id="rId10"/><Relationship Type="http://schemas.openxmlformats.org/officeDocument/2006/relationships/table" Target="/xl/tables/table6.xml" Id="rId1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sheet1.xml><?xml version="1.0" encoding="utf-8"?>
<worksheet xmlns="http://schemas.openxmlformats.org/spreadsheetml/2006/main">
  <sheetPr>
    <tabColor rgb="001F2937"/>
    <outlinePr summaryBelow="1" summaryRight="1"/>
    <pageSetUpPr/>
  </sheetPr>
  <dimension ref="A1:I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6" customWidth="1" min="2" max="2"/>
    <col width="52" customWidth="1" min="3" max="3"/>
    <col width="12" customWidth="1" min="4" max="4"/>
    <col width="3" customWidth="1" min="5" max="5"/>
    <col width="26" customWidth="1" min="6" max="6"/>
    <col width="14" customWidth="1" min="7" max="7"/>
    <col width="26" customWidth="1" min="8" max="8"/>
    <col width="14" customWidth="1" min="9" max="9"/>
    <col width="3" customWidth="1" min="10" max="10"/>
  </cols>
  <sheetData>
    <row r="1" ht="40" customHeight="1">
      <c r="A1" s="1" t="inlineStr">
        <is>
          <t>GESTORA — CRUSCOTTO DEL PROGETTO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Aggiornato il 02/10/2026 · versione v1.2.0 · BE e FE sono in fogli separati (prefisso BE · e FE ·)</t>
        </is>
      </c>
    </row>
    <row r="4" ht="20" customHeight="1">
      <c r="A4" s="4" t="inlineStr">
        <is>
          <t>TEST BACKEND</t>
        </is>
      </c>
      <c r="B4" s="5" t="n"/>
      <c r="C4" s="6" t="inlineStr">
        <is>
          <t>TEST FRONTEND</t>
        </is>
      </c>
      <c r="D4" s="4" t="inlineStr">
        <is>
          <t>ENDPOINT API</t>
        </is>
      </c>
      <c r="E4" s="5" t="n"/>
      <c r="F4" s="5" t="n"/>
      <c r="G4" s="5" t="n"/>
      <c r="H4" s="7" t="inlineStr">
        <is>
          <t>FIX E BUG APERTI</t>
        </is>
      </c>
      <c r="I4" s="5" t="n"/>
    </row>
    <row r="5" ht="44" customHeight="1">
      <c r="A5" s="8">
        <f>SUM('BE · Test'!D5:D1000)</f>
        <v/>
      </c>
      <c r="B5" s="9" t="n"/>
      <c r="C5" s="10">
        <f>SUM('FE · Test'!C5:C1000)</f>
        <v/>
      </c>
      <c r="D5" s="8">
        <f>COUNTA('BE · Controllers'!A5:A1000)</f>
        <v/>
      </c>
      <c r="E5" s="9" t="n"/>
      <c r="F5" s="9" t="n"/>
      <c r="G5" s="9" t="n"/>
      <c r="H5" s="11">
        <f>COUNTIF('Fix e Bug'!H5:H1000,"Aperto")+COUNTIF('Fix e Bug'!H5:H1000,"In corso")</f>
        <v/>
      </c>
      <c r="I5" s="9" t="n"/>
    </row>
    <row r="7">
      <c r="A7" s="12" t="inlineStr">
        <is>
          <t>INDICE DEI FOGLI — clicca sul nome per aprirlo</t>
        </is>
      </c>
      <c r="F7" s="12" t="inlineStr">
        <is>
          <t>QUANTE RIGHE IN OGNI FOGLIO</t>
        </is>
      </c>
    </row>
    <row r="8">
      <c r="A8" s="13" t="inlineStr">
        <is>
          <t>Foglio</t>
        </is>
      </c>
      <c r="B8" s="13" t="inlineStr">
        <is>
          <t>Lato</t>
        </is>
      </c>
      <c r="C8" s="13" t="inlineStr">
        <is>
          <t>Cosa contiene</t>
        </is>
      </c>
      <c r="D8" s="13" t="inlineStr">
        <is>
          <t>Righe</t>
        </is>
      </c>
    </row>
    <row r="9">
      <c r="A9" s="14" t="inlineStr">
        <is>
          <t>BE · Models</t>
        </is>
      </c>
      <c r="B9" s="15" t="inlineStr">
        <is>
          <t>Backend</t>
        </is>
      </c>
      <c r="C9" s="16" t="inlineStr">
        <is>
          <t>Entità, campi e vincoli del database</t>
        </is>
      </c>
      <c r="D9" s="16">
        <f>COUNTA('BE · Models'!A5:A1000)</f>
        <v/>
      </c>
    </row>
    <row r="10">
      <c r="A10" s="14" t="inlineStr">
        <is>
          <t>BE · DTO</t>
        </is>
      </c>
      <c r="B10" s="15" t="inlineStr">
        <is>
          <t>Backend</t>
        </is>
      </c>
      <c r="C10" s="16" t="inlineStr">
        <is>
          <t>Forme dei dati in entrata e in uscita</t>
        </is>
      </c>
      <c r="D10" s="16">
        <f>COUNTA('BE · DTO'!A5:A1000)</f>
        <v/>
      </c>
    </row>
    <row r="11">
      <c r="A11" s="14" t="inlineStr">
        <is>
          <t>BE · Repository</t>
        </is>
      </c>
      <c r="B11" s="15" t="inlineStr">
        <is>
          <t>Backend</t>
        </is>
      </c>
      <c r="C11" s="16" t="inlineStr">
        <is>
          <t>Metodi che leggono e scrivono nel database</t>
        </is>
      </c>
      <c r="D11" s="16">
        <f>COUNTA('BE · Repository'!A5:A1000)</f>
        <v/>
      </c>
    </row>
    <row r="12">
      <c r="A12" s="14" t="inlineStr">
        <is>
          <t>BE · Services</t>
        </is>
      </c>
      <c r="B12" s="15" t="inlineStr">
        <is>
          <t>Backend</t>
        </is>
      </c>
      <c r="C12" s="16" t="inlineStr">
        <is>
          <t>Servizi e componenti di supporto</t>
        </is>
      </c>
      <c r="D12" s="16">
        <f>COUNTA('BE · Services'!A5:A1000)</f>
        <v/>
      </c>
    </row>
    <row r="13">
      <c r="A13" s="14" t="inlineStr">
        <is>
          <t>BE · Controllers</t>
        </is>
      </c>
      <c r="B13" s="15" t="inlineStr">
        <is>
          <t>Backend</t>
        </is>
      </c>
      <c r="C13" s="16" t="inlineStr">
        <is>
          <t>Endpoint, ruoli e cosa fanno</t>
        </is>
      </c>
      <c r="D13" s="16">
        <f>COUNTA('BE · Controllers'!A5:A1000)</f>
        <v/>
      </c>
    </row>
    <row r="14">
      <c r="A14" s="14" t="inlineStr">
        <is>
          <t>BE · Method</t>
        </is>
      </c>
      <c r="B14" s="15" t="inlineStr">
        <is>
          <t>Backend</t>
        </is>
      </c>
      <c r="C14" s="16" t="inlineStr">
        <is>
          <t>Metodi di servizi e supporto, in poche parole</t>
        </is>
      </c>
      <c r="D14" s="16">
        <f>COUNTA('BE · Method'!A5:A1000)</f>
        <v/>
      </c>
    </row>
    <row r="15">
      <c r="A15" s="14" t="inlineStr">
        <is>
          <t>BE · Validators</t>
        </is>
      </c>
      <c r="B15" s="15" t="inlineStr">
        <is>
          <t>Backend</t>
        </is>
      </c>
      <c r="C15" s="16" t="inlineStr">
        <is>
          <t>Controlli automatici sui dati in arrivo</t>
        </is>
      </c>
      <c r="D15" s="16">
        <f>COUNTA('BE · Validators'!A5:A1000)</f>
        <v/>
      </c>
    </row>
    <row r="16">
      <c r="A16" s="14" t="inlineStr">
        <is>
          <t>BE · Infrastruttura</t>
        </is>
      </c>
      <c r="B16" s="15" t="inlineStr">
        <is>
          <t>Backend</t>
        </is>
      </c>
      <c r="C16" s="16" t="inlineStr">
        <is>
          <t>Configurazione, gestione errori, avvio, deploy</t>
        </is>
      </c>
      <c r="D16" s="16">
        <f>COUNTA('BE · Infrastruttura'!A5:A1000)</f>
        <v/>
      </c>
    </row>
    <row r="17">
      <c r="A17" s="14" t="inlineStr">
        <is>
          <t>BE · Test</t>
        </is>
      </c>
      <c r="B17" s="15" t="inlineStr">
        <is>
          <t>Backend</t>
        </is>
      </c>
      <c r="C17" s="16" t="inlineStr">
        <is>
          <t>Classi di test del backend</t>
        </is>
      </c>
      <c r="D17" s="16">
        <f>COUNTA('BE · Test'!A5:A1000)</f>
        <v/>
      </c>
    </row>
    <row r="18">
      <c r="A18" s="14" t="inlineStr">
        <is>
          <t>BE · Auth e Security</t>
        </is>
      </c>
      <c r="B18" s="15" t="inlineStr">
        <is>
          <t>Backend</t>
        </is>
      </c>
      <c r="C18" s="16" t="inlineStr">
        <is>
          <t>Login, token, ruoli, protezioni</t>
        </is>
      </c>
      <c r="D18" s="16">
        <f>COUNTA('BE · Auth e Security'!A5:A1000)</f>
        <v/>
      </c>
    </row>
    <row r="19">
      <c r="A19" s="14" t="inlineStr">
        <is>
          <t>BE · Jobs</t>
        </is>
      </c>
      <c r="B19" s="15" t="inlineStr">
        <is>
          <t>Backend</t>
        </is>
      </c>
      <c r="C19" s="16" t="inlineStr">
        <is>
          <t>Lavori automatici notturni</t>
        </is>
      </c>
      <c r="D19" s="16">
        <f>COUNTA('BE · Jobs'!A5:A1000)</f>
        <v/>
      </c>
    </row>
    <row r="20">
      <c r="A20" s="14" t="inlineStr">
        <is>
          <t>BE · Migration</t>
        </is>
      </c>
      <c r="B20" s="15" t="inlineStr">
        <is>
          <t>Backend</t>
        </is>
      </c>
      <c r="C20" s="16" t="inlineStr">
        <is>
          <t>Modifiche allo schema del database</t>
        </is>
      </c>
      <c r="D20" s="16">
        <f>COUNTA('BE · Migration'!A5:A1000)</f>
        <v/>
      </c>
    </row>
    <row r="21">
      <c r="A21" s="14" t="inlineStr">
        <is>
          <t>FE · Pagine</t>
        </is>
      </c>
      <c r="B21" s="17" t="inlineStr">
        <is>
          <t>Frontend</t>
        </is>
      </c>
      <c r="C21" s="16" t="inlineStr">
        <is>
          <t>Schermate, indirizzi e permessi</t>
        </is>
      </c>
      <c r="D21" s="16">
        <f>COUNTA('FE · Pagine'!A5:A1000)</f>
        <v/>
      </c>
    </row>
    <row r="22">
      <c r="A22" s="14" t="inlineStr">
        <is>
          <t>FE · Componenti</t>
        </is>
      </c>
      <c r="B22" s="17" t="inlineStr">
        <is>
          <t>Frontend</t>
        </is>
      </c>
      <c r="C22" s="16" t="inlineStr">
        <is>
          <t>Componenti React e dove si usano</t>
        </is>
      </c>
      <c r="D22" s="16">
        <f>COUNTA('FE · Componenti'!A5:A1000)</f>
        <v/>
      </c>
    </row>
    <row r="23">
      <c r="A23" s="14" t="inlineStr">
        <is>
          <t>FE · Hook e API</t>
        </is>
      </c>
      <c r="B23" s="17" t="inlineStr">
        <is>
          <t>Frontend</t>
        </is>
      </c>
      <c r="C23" s="16" t="inlineStr">
        <is>
          <t>Hook React e chiamate all'API</t>
        </is>
      </c>
      <c r="D23" s="16">
        <f>COUNTA('FE · Hook e API'!A5:A1000)</f>
        <v/>
      </c>
    </row>
    <row r="24">
      <c r="A24" s="14" t="inlineStr">
        <is>
          <t>FE · Auth</t>
        </is>
      </c>
      <c r="B24" s="17" t="inlineStr">
        <is>
          <t>Frontend</t>
        </is>
      </c>
      <c r="C24" s="16" t="inlineStr">
        <is>
          <t>Token, guardie delle pagine, sessione</t>
        </is>
      </c>
      <c r="D24" s="16">
        <f>COUNTA('FE · Auth'!A5:A1000)</f>
        <v/>
      </c>
    </row>
    <row r="25">
      <c r="A25" s="14" t="inlineStr">
        <is>
          <t>FE · Test</t>
        </is>
      </c>
      <c r="B25" s="17" t="inlineStr">
        <is>
          <t>Frontend</t>
        </is>
      </c>
      <c r="C25" s="16" t="inlineStr">
        <is>
          <t>File di test del frontend</t>
        </is>
      </c>
      <c r="D25" s="16">
        <f>COUNTA('FE · Test'!A5:A1000)</f>
        <v/>
      </c>
    </row>
    <row r="26">
      <c r="A26" s="14" t="inlineStr">
        <is>
          <t>Appunti e Step</t>
        </is>
      </c>
      <c r="B26" s="18" t="inlineStr">
        <is>
          <t>Manuale</t>
        </is>
      </c>
      <c r="C26" s="16" t="inlineStr">
        <is>
          <t>Diario di lavoro (manuale)</t>
        </is>
      </c>
      <c r="D26" s="16">
        <f>COUNTA('Appunti e Step'!C5:C1000)</f>
        <v/>
      </c>
    </row>
    <row r="27">
      <c r="A27" s="14" t="inlineStr">
        <is>
          <t>Fix e Bug</t>
        </is>
      </c>
      <c r="B27" s="18" t="inlineStr">
        <is>
          <t>Manuale</t>
        </is>
      </c>
      <c r="C27" s="16" t="inlineStr">
        <is>
          <t>Registro dei difetti (manuale)</t>
        </is>
      </c>
      <c r="D27" s="16">
        <f>COUNTA('Fix e Bug'!E5:E1000)</f>
        <v/>
      </c>
    </row>
    <row r="29">
      <c r="A29" s="12" t="inlineStr">
        <is>
          <t>AMBIENTI</t>
        </is>
      </c>
    </row>
    <row r="30">
      <c r="A30" s="13" t="inlineStr">
        <is>
          <t>Ambiente</t>
        </is>
      </c>
      <c r="B30" s="13" t="inlineStr">
        <is>
          <t>Dove</t>
        </is>
      </c>
      <c r="C30" s="13" t="inlineStr">
        <is>
          <t>Indirizzo</t>
        </is>
      </c>
    </row>
    <row r="31">
      <c r="A31" s="16" t="inlineStr">
        <is>
          <t>Frontend produzione</t>
        </is>
      </c>
      <c r="B31" s="16" t="inlineStr">
        <is>
          <t>Vercel</t>
        </is>
      </c>
      <c r="C31" s="14" t="inlineStr">
        <is>
          <t>https://gestora-project-xi.vercel.app</t>
        </is>
      </c>
    </row>
    <row r="32">
      <c r="A32" s="16" t="inlineStr">
        <is>
          <t>Backend produzione</t>
        </is>
      </c>
      <c r="B32" s="16" t="inlineStr">
        <is>
          <t>Azure App Service F1</t>
        </is>
      </c>
      <c r="C32" s="14" t="inlineStr">
        <is>
          <t>gestora-api-….azurewebsites.net/health</t>
        </is>
      </c>
    </row>
    <row r="33">
      <c r="A33" s="16" t="inlineStr">
        <is>
          <t>Database produzione</t>
        </is>
      </c>
      <c r="B33" s="16" t="inlineStr">
        <is>
          <t>Neon (PostgreSQL)</t>
        </is>
      </c>
      <c r="C33" s="16" t="inlineStr">
        <is>
          <t>Pannello Neon</t>
        </is>
      </c>
    </row>
    <row r="34">
      <c r="A34" s="16" t="inlineStr">
        <is>
          <t>Frontend locale</t>
        </is>
      </c>
      <c r="B34" s="16" t="inlineStr">
        <is>
          <t>Vite</t>
        </is>
      </c>
      <c r="C34" s="14" t="inlineStr">
        <is>
          <t>http://localhost:5173</t>
        </is>
      </c>
      <c r="F34" s="12" t="inlineStr">
        <is>
          <t>FIX E BUG PER STATO</t>
        </is>
      </c>
    </row>
    <row r="35">
      <c r="A35" s="16" t="inlineStr">
        <is>
          <t>Backend locale</t>
        </is>
      </c>
      <c r="B35" s="16" t="inlineStr">
        <is>
          <t>dotnet run</t>
        </is>
      </c>
      <c r="C35" s="14" t="inlineStr">
        <is>
          <t>http://localhost:5099</t>
        </is>
      </c>
      <c r="F35" s="13" t="inlineStr">
        <is>
          <t>Stato</t>
        </is>
      </c>
      <c r="G35" s="13" t="inlineStr">
        <is>
          <t>Quanti</t>
        </is>
      </c>
      <c r="H35" s="13" t="inlineStr">
        <is>
          <t>Gravità</t>
        </is>
      </c>
      <c r="I35" s="13" t="inlineStr">
        <is>
          <t>Aperti</t>
        </is>
      </c>
    </row>
    <row r="36">
      <c r="A36" s="16" t="inlineStr">
        <is>
          <t>Database locale</t>
        </is>
      </c>
      <c r="B36" s="16" t="inlineStr">
        <is>
          <t>PostgreSQL sulla macchina</t>
        </is>
      </c>
      <c r="C36" s="16" t="inlineStr">
        <is>
          <t>—</t>
        </is>
      </c>
      <c r="F36" s="16" t="inlineStr">
        <is>
          <t>Risolto</t>
        </is>
      </c>
      <c r="G36" s="16">
        <f>COUNTIF('Fix e Bug'!H5:H1000,"Risolto")</f>
        <v/>
      </c>
      <c r="H36" s="16" t="inlineStr">
        <is>
          <t>Alta</t>
        </is>
      </c>
      <c r="I36" s="16">
        <f>COUNTIFS('Fix e Bug'!F5:F1000,"Alta",'Fix e Bug'!H5:H1000,"&lt;&gt;Risolto",'Fix e Bug'!H5:H1000,"&lt;&gt;Scartato",'Fix e Bug'!E5:E1000,"&lt;&gt;")</f>
        <v/>
      </c>
    </row>
    <row r="37">
      <c r="F37" s="16" t="inlineStr">
        <is>
          <t>In corso</t>
        </is>
      </c>
      <c r="G37" s="16">
        <f>COUNTIF('Fix e Bug'!H5:H1000,"In corso")</f>
        <v/>
      </c>
      <c r="H37" s="16" t="inlineStr">
        <is>
          <t>Media</t>
        </is>
      </c>
      <c r="I37" s="16">
        <f>COUNTIFS('Fix e Bug'!F5:F1000,"Media",'Fix e Bug'!H5:H1000,"&lt;&gt;Risolto",'Fix e Bug'!H5:H1000,"&lt;&gt;Scartato",'Fix e Bug'!E5:E1000,"&lt;&gt;")</f>
        <v/>
      </c>
    </row>
    <row r="38">
      <c r="A38" s="12" t="inlineStr">
        <is>
          <t>STACK TECNOLOGICO</t>
        </is>
      </c>
      <c r="F38" s="16" t="inlineStr">
        <is>
          <t>Aperto</t>
        </is>
      </c>
      <c r="G38" s="16">
        <f>COUNTIF('Fix e Bug'!H5:H1000,"Aperto")</f>
        <v/>
      </c>
      <c r="H38" s="16" t="inlineStr">
        <is>
          <t>Bassa</t>
        </is>
      </c>
      <c r="I38" s="16">
        <f>COUNTIFS('Fix e Bug'!F5:F1000,"Bassa",'Fix e Bug'!H5:H1000,"&lt;&gt;Risolto",'Fix e Bug'!H5:H1000,"&lt;&gt;Scartato",'Fix e Bug'!E5:E1000,"&lt;&gt;")</f>
        <v/>
      </c>
    </row>
    <row r="39">
      <c r="A39" s="13" t="inlineStr">
        <is>
          <t>Tecnologia</t>
        </is>
      </c>
      <c r="B39" s="13" t="inlineStr">
        <is>
          <t>Versione</t>
        </is>
      </c>
      <c r="C39" s="13" t="inlineStr">
        <is>
          <t>Lato</t>
        </is>
      </c>
      <c r="F39" s="16" t="inlineStr">
        <is>
          <t>Scartato</t>
        </is>
      </c>
      <c r="G39" s="16">
        <f>COUNTIF('Fix e Bug'!H5:H1000,"Scartato")</f>
        <v/>
      </c>
    </row>
    <row r="40">
      <c r="A40" s="16" t="inlineStr">
        <is>
          <t>ASP.NET Core / .NET</t>
        </is>
      </c>
      <c r="B40" s="16" t="inlineStr">
        <is>
          <t>9</t>
        </is>
      </c>
      <c r="C40" s="15" t="inlineStr">
        <is>
          <t>Backend</t>
        </is>
      </c>
    </row>
    <row r="41">
      <c r="A41" s="16" t="inlineStr">
        <is>
          <t>Entity Framework Core</t>
        </is>
      </c>
      <c r="B41" s="16" t="inlineStr">
        <is>
          <t>9.0.9</t>
        </is>
      </c>
      <c r="C41" s="15" t="inlineStr">
        <is>
          <t>Backend</t>
        </is>
      </c>
    </row>
    <row r="42">
      <c r="A42" s="16" t="inlineStr">
        <is>
          <t>PostgreSQL (Npgsql)</t>
        </is>
      </c>
      <c r="B42" s="16" t="inlineStr">
        <is>
          <t>9.0.4</t>
        </is>
      </c>
      <c r="C42" s="15" t="inlineStr">
        <is>
          <t>Backend</t>
        </is>
      </c>
    </row>
    <row r="43">
      <c r="A43" s="16" t="inlineStr">
        <is>
          <t>Identity + JWT Bearer</t>
        </is>
      </c>
      <c r="B43" s="16" t="inlineStr">
        <is>
          <t>9.0.9</t>
        </is>
      </c>
      <c r="C43" s="15" t="inlineStr">
        <is>
          <t>Backend</t>
        </is>
      </c>
    </row>
    <row r="44">
      <c r="A44" s="16" t="inlineStr">
        <is>
          <t>Quartz.NET</t>
        </is>
      </c>
      <c r="B44" s="16" t="inlineStr">
        <is>
          <t>3.15.0</t>
        </is>
      </c>
      <c r="C44" s="15" t="inlineStr">
        <is>
          <t>Backend</t>
        </is>
      </c>
    </row>
    <row r="45">
      <c r="A45" s="16" t="inlineStr">
        <is>
          <t>FluentValidation</t>
        </is>
      </c>
      <c r="B45" s="16" t="inlineStr">
        <is>
          <t>11.3.1</t>
        </is>
      </c>
      <c r="C45" s="15" t="inlineStr">
        <is>
          <t>Backend</t>
        </is>
      </c>
    </row>
    <row r="46">
      <c r="A46" s="16" t="inlineStr">
        <is>
          <t>AutoMapper</t>
        </is>
      </c>
      <c r="B46" s="16" t="inlineStr">
        <is>
          <t>12.0.1 (ferma)</t>
        </is>
      </c>
      <c r="C46" s="15" t="inlineStr">
        <is>
          <t>Backend</t>
        </is>
      </c>
    </row>
    <row r="47">
      <c r="A47" s="16" t="inlineStr">
        <is>
          <t>Serilog</t>
        </is>
      </c>
      <c r="B47" s="16" t="inlineStr">
        <is>
          <t>9.0.0</t>
        </is>
      </c>
      <c r="C47" s="15" t="inlineStr">
        <is>
          <t>Backend</t>
        </is>
      </c>
    </row>
    <row r="48">
      <c r="A48" s="16" t="inlineStr">
        <is>
          <t>Swashbuckle (Swagger)</t>
        </is>
      </c>
      <c r="B48" s="16" t="inlineStr">
        <is>
          <t>9.0.4</t>
        </is>
      </c>
      <c r="C48" s="15" t="inlineStr">
        <is>
          <t>Backend</t>
        </is>
      </c>
    </row>
    <row r="49">
      <c r="A49" s="16" t="inlineStr">
        <is>
          <t>xUnit + Moq</t>
        </is>
      </c>
      <c r="B49" s="16" t="inlineStr">
        <is>
          <t>2.9.3 / 4.20.70</t>
        </is>
      </c>
      <c r="C49" s="15" t="inlineStr">
        <is>
          <t>Backend</t>
        </is>
      </c>
    </row>
    <row r="50">
      <c r="A50" s="16" t="inlineStr">
        <is>
          <t>React</t>
        </is>
      </c>
      <c r="B50" s="16" t="inlineStr">
        <is>
          <t>19.2</t>
        </is>
      </c>
      <c r="C50" s="17" t="inlineStr">
        <is>
          <t>Frontend</t>
        </is>
      </c>
    </row>
    <row r="51">
      <c r="A51" s="16" t="inlineStr">
        <is>
          <t>TypeScript</t>
        </is>
      </c>
      <c r="B51" s="16" t="inlineStr">
        <is>
          <t>6.0</t>
        </is>
      </c>
      <c r="C51" s="17" t="inlineStr">
        <is>
          <t>Frontend</t>
        </is>
      </c>
    </row>
    <row r="52">
      <c r="A52" s="16" t="inlineStr">
        <is>
          <t>Vite</t>
        </is>
      </c>
      <c r="B52" s="16" t="inlineStr">
        <is>
          <t>8.0</t>
        </is>
      </c>
      <c r="C52" s="17" t="inlineStr">
        <is>
          <t>Frontend</t>
        </is>
      </c>
    </row>
    <row r="53">
      <c r="A53" s="16" t="inlineStr">
        <is>
          <t>React Router</t>
        </is>
      </c>
      <c r="B53" s="16" t="inlineStr">
        <is>
          <t>7.15</t>
        </is>
      </c>
      <c r="C53" s="17" t="inlineStr">
        <is>
          <t>Frontend</t>
        </is>
      </c>
    </row>
    <row r="54">
      <c r="A54" s="16" t="inlineStr">
        <is>
          <t>TanStack Query</t>
        </is>
      </c>
      <c r="B54" s="16" t="inlineStr">
        <is>
          <t>5.100</t>
        </is>
      </c>
      <c r="C54" s="17" t="inlineStr">
        <is>
          <t>Frontend</t>
        </is>
      </c>
    </row>
    <row r="55">
      <c r="A55" s="16" t="inlineStr">
        <is>
          <t>Axios</t>
        </is>
      </c>
      <c r="B55" s="16" t="inlineStr">
        <is>
          <t>1.16</t>
        </is>
      </c>
      <c r="C55" s="17" t="inlineStr">
        <is>
          <t>Frontend</t>
        </is>
      </c>
    </row>
    <row r="56">
      <c r="A56" s="16" t="inlineStr">
        <is>
          <t>React Hook Form + Zod</t>
        </is>
      </c>
      <c r="B56" s="16" t="inlineStr">
        <is>
          <t>7.76 / 4.4</t>
        </is>
      </c>
      <c r="C56" s="17" t="inlineStr">
        <is>
          <t>Frontend</t>
        </is>
      </c>
    </row>
    <row r="57">
      <c r="A57" s="16" t="inlineStr">
        <is>
          <t>Tailwind CSS + shadcn/ui</t>
        </is>
      </c>
      <c r="B57" s="16" t="inlineStr">
        <is>
          <t>4.3 / 4.7</t>
        </is>
      </c>
      <c r="C57" s="17" t="inlineStr">
        <is>
          <t>Frontend</t>
        </is>
      </c>
    </row>
    <row r="58">
      <c r="A58" s="16" t="inlineStr">
        <is>
          <t>Vitest + Testing Library</t>
        </is>
      </c>
      <c r="B58" s="16" t="inlineStr">
        <is>
          <t>5.0 / 16.3</t>
        </is>
      </c>
      <c r="C58" s="17" t="inlineStr">
        <is>
          <t>Frontend</t>
        </is>
      </c>
    </row>
    <row r="59">
      <c r="A59" s="16" t="inlineStr">
        <is>
          <t>Docker Hub + GitHub Actions</t>
        </is>
      </c>
      <c r="B59" s="16" t="inlineStr">
        <is>
          <t>—</t>
        </is>
      </c>
      <c r="C59" s="19" t="inlineStr">
        <is>
          <t>Deploy</t>
        </is>
      </c>
    </row>
    <row r="60">
      <c r="A60" s="16" t="inlineStr">
        <is>
          <t>Azure App Service · Vercel · Neon</t>
        </is>
      </c>
      <c r="B60" s="16" t="inlineStr">
        <is>
          <t>—</t>
        </is>
      </c>
      <c r="C60" s="19" t="inlineStr">
        <is>
          <t>Deploy</t>
        </is>
      </c>
    </row>
    <row r="62">
      <c r="A62" s="12" t="inlineStr">
        <is>
          <t>DOVE STA COSA (fuori da questo file)</t>
        </is>
      </c>
    </row>
    <row r="63">
      <c r="A63" s="13" t="inlineStr">
        <is>
          <t>Cerchi…</t>
        </is>
      </c>
      <c r="B63" s="13" t="inlineStr">
        <is>
          <t>File</t>
        </is>
      </c>
      <c r="C63" s="13" t="inlineStr">
        <is>
          <t>Dove</t>
        </is>
      </c>
    </row>
    <row r="64">
      <c r="A64" s="16" t="inlineStr">
        <is>
          <t>Stato del progetto, decisioni, regole</t>
        </is>
      </c>
      <c r="B64" s="16" t="inlineStr">
        <is>
          <t>CLAUDE.md</t>
        </is>
      </c>
      <c r="C64" s="16" t="inlineStr">
        <is>
          <t>cartella principale</t>
        </is>
      </c>
    </row>
    <row r="65">
      <c r="A65" s="16" t="inlineStr">
        <is>
          <t>Cosa resta da fare</t>
        </is>
      </c>
      <c r="B65" s="16" t="inlineStr">
        <is>
          <t>BACKLOG.md</t>
        </is>
      </c>
      <c r="C65" s="16" t="inlineStr">
        <is>
          <t>cartella principale</t>
        </is>
      </c>
    </row>
    <row r="66">
      <c r="A66" s="16" t="inlineStr">
        <is>
          <t>Come si fa un'operazione (reset, migration, deploy)</t>
        </is>
      </c>
      <c r="B66" s="16" t="inlineStr">
        <is>
          <t>RUNBOOK.md</t>
        </is>
      </c>
      <c r="C66" s="16" t="inlineStr">
        <is>
          <t>cartella principale</t>
        </is>
      </c>
    </row>
    <row r="67">
      <c r="A67" s="16" t="inlineStr">
        <is>
          <t>Storia delle fasi e lezioni imparate</t>
        </is>
      </c>
      <c r="B67" s="16" t="inlineStr">
        <is>
          <t>STORICO_FASI.md</t>
        </is>
      </c>
      <c r="C67" s="16" t="inlineStr">
        <is>
          <t>docs/archivio</t>
        </is>
      </c>
    </row>
    <row r="68">
      <c r="A68" s="16" t="inlineStr">
        <is>
          <t>Vecchi tracker</t>
        </is>
      </c>
      <c r="B68" s="16" t="inlineStr">
        <is>
          <t>TrackAttività_Gestora.xlsx, TrackGestora_v2_fino_al_02-10-2026.xlsx</t>
        </is>
      </c>
      <c r="C68" s="16" t="inlineStr">
        <is>
          <t>docs/archivio</t>
        </is>
      </c>
    </row>
  </sheetData>
  <mergeCells count="7">
    <mergeCell ref="A4:B4"/>
    <mergeCell ref="A5:B5"/>
    <mergeCell ref="A1:I1"/>
    <mergeCell ref="H5:I5"/>
    <mergeCell ref="H4:I4"/>
    <mergeCell ref="D5:G5"/>
    <mergeCell ref="D4:G4"/>
  </mergeCells>
  <hyperlinks>
    <hyperlink ref="A9" location="'BE · Models'!A1" display="BE · Models"/>
    <hyperlink ref="A10" location="'BE · DTO'!A1" display="BE · DTO"/>
    <hyperlink ref="A11" location="'BE · Repository'!A1" display="BE · Repository"/>
    <hyperlink ref="A12" location="'BE · Services'!A1" display="BE · Services"/>
    <hyperlink ref="A13" location="'BE · Controllers'!A1" display="BE · Controllers"/>
    <hyperlink ref="A14" location="'BE · Method'!A1" display="BE · Method"/>
    <hyperlink ref="A15" location="'BE · Validators'!A1" display="BE · Validators"/>
    <hyperlink ref="A16" location="'BE · Infrastruttura'!A1" display="BE · Infrastruttura"/>
    <hyperlink ref="A17" location="'BE · Test'!A1" display="BE · Test"/>
    <hyperlink ref="A18" location="'BE · Auth e Security'!A1" display="BE · Auth e Security"/>
    <hyperlink ref="A19" location="'BE · Jobs'!A1" display="BE · Jobs"/>
    <hyperlink ref="A20" location="'BE · Migration'!A1" display="BE · Migration"/>
    <hyperlink ref="A21" location="'FE · Pagine'!A1" display="FE · Pagine"/>
    <hyperlink ref="A22" location="'FE · Componenti'!A1" display="FE · Componenti"/>
    <hyperlink ref="A23" location="'FE · Hook e API'!A1" display="FE · Hook e API"/>
    <hyperlink ref="A24" location="'FE · Auth'!A1" display="FE · Auth"/>
    <hyperlink ref="A25" location="'FE · Test'!A1" display="FE · Test"/>
    <hyperlink ref="A26" location="'Appunti e Step'!A1" display="Appunti e Step"/>
    <hyperlink ref="A27" location="'Fix e Bug'!A1" display="Fix e Bug"/>
    <hyperlink xmlns:r="http://schemas.openxmlformats.org/officeDocument/2006/relationships" ref="C31" r:id="rId1"/>
    <hyperlink xmlns:r="http://schemas.openxmlformats.org/officeDocument/2006/relationships" ref="C32" r:id="rId2"/>
    <hyperlink xmlns:r="http://schemas.openxmlformats.org/officeDocument/2006/relationships" ref="C34" r:id="rId3"/>
    <hyperlink xmlns:r="http://schemas.openxmlformats.org/officeDocument/2006/relationships" ref="C35" r:id="rId4"/>
  </hyperlinks>
  <pageMargins left="0.75" right="0.75" top="1" bottom="1" header="0.5" footer="0.5"/>
  <drawing xmlns:r="http://schemas.openxmlformats.org/officeDocument/2006/relationships" r:id="rId5"/>
  <tableParts count="6"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</tableParts>
</worksheet>
</file>

<file path=xl/worksheets/sheet2.xml><?xml version="1.0" encoding="utf-8"?>
<worksheet xmlns="http://schemas.openxmlformats.org/spreadsheetml/2006/main">
  <sheetPr>
    <tabColor rgb="002E5FAD"/>
    <outlinePr summaryBelow="1" summaryRight="1"/>
    <pageSetUpPr/>
  </sheetPr>
  <dimension ref="A1:F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4" customWidth="1" min="3" max="3"/>
    <col width="22" customWidth="1" min="4" max="4"/>
    <col width="16" customWidth="1" min="5" max="5"/>
    <col width="70" customWidth="1" min="6" max="6"/>
  </cols>
  <sheetData>
    <row r="1" ht="34" customHeight="1">
      <c r="A1" s="20" t="inlineStr">
        <is>
          <t>BE · MODELLI — LE TABELLE DEL DATABASE</t>
        </is>
      </c>
      <c r="B1" s="21" t="n"/>
      <c r="C1" s="21" t="n"/>
      <c r="D1" s="21" t="n"/>
      <c r="E1" s="21" t="n"/>
      <c r="F1" s="21" t="n"/>
    </row>
    <row r="2" ht="20" customHeight="1">
      <c r="A2" s="3" t="inlineStr">
        <is>
          <t>Una riga per campo. Le entità stanno in GestoraWebApi/Models, la configurazione in Context/GestoraContext.cs.</t>
        </is>
      </c>
      <c r="F2" s="22" t="inlineStr">
        <is>
          <t>← Torna alla Dashboard</t>
        </is>
      </c>
    </row>
    <row r="4" ht="24" customHeight="1">
      <c r="A4" s="23" t="inlineStr">
        <is>
          <t>Entità</t>
        </is>
      </c>
      <c r="B4" s="23" t="inlineStr">
        <is>
          <t>Tabella</t>
        </is>
      </c>
      <c r="C4" s="23" t="inlineStr">
        <is>
          <t>Campo</t>
        </is>
      </c>
      <c r="D4" s="23" t="inlineStr">
        <is>
          <t>Tipo</t>
        </is>
      </c>
      <c r="E4" s="23" t="inlineStr">
        <is>
          <t>Obbligatorio</t>
        </is>
      </c>
      <c r="F4" s="23" t="inlineStr">
        <is>
          <t>Note</t>
        </is>
      </c>
    </row>
    <row r="5">
      <c r="A5" s="24" t="inlineStr">
        <is>
          <t>Zona</t>
        </is>
      </c>
      <c r="B5" s="24" t="inlineStr">
        <is>
          <t>Zone</t>
        </is>
      </c>
      <c r="C5" s="24" t="inlineStr">
        <is>
          <t>Id</t>
        </is>
      </c>
      <c r="D5" s="24" t="inlineStr">
        <is>
          <t>long</t>
        </is>
      </c>
      <c r="E5" s="24" t="inlineStr">
        <is>
          <t>Sì</t>
        </is>
      </c>
      <c r="F5" s="16" t="inlineStr">
        <is>
          <t>Chiave</t>
        </is>
      </c>
    </row>
    <row r="6">
      <c r="A6" s="24" t="inlineStr">
        <is>
          <t>Zona</t>
        </is>
      </c>
      <c r="B6" s="24" t="inlineStr">
        <is>
          <t>Zone</t>
        </is>
      </c>
      <c r="C6" s="24" t="inlineStr">
        <is>
          <t>Nome</t>
        </is>
      </c>
      <c r="D6" s="24" t="inlineStr">
        <is>
          <t>string</t>
        </is>
      </c>
      <c r="E6" s="24" t="inlineStr">
        <is>
          <t>Sì</t>
        </is>
      </c>
      <c r="F6" s="16" t="inlineStr">
        <is>
          <t>Nome della zona (es. Sala, Dehors), max 100 caratteri</t>
        </is>
      </c>
    </row>
    <row r="7">
      <c r="A7" s="24" t="inlineStr">
        <is>
          <t>Zona</t>
        </is>
      </c>
      <c r="B7" s="24" t="inlineStr">
        <is>
          <t>Zone</t>
        </is>
      </c>
      <c r="C7" s="24" t="inlineStr">
        <is>
          <t>Attiva</t>
        </is>
      </c>
      <c r="D7" s="24" t="inlineStr">
        <is>
          <t>bool</t>
        </is>
      </c>
      <c r="E7" s="24" t="inlineStr">
        <is>
          <t>Sì</t>
        </is>
      </c>
      <c r="F7" s="16" t="inlineStr">
        <is>
          <t>Spenta = non si usa per nuove prenotazioni</t>
        </is>
      </c>
    </row>
    <row r="8">
      <c r="A8" s="24" t="inlineStr">
        <is>
          <t>Zona</t>
        </is>
      </c>
      <c r="B8" s="24" t="inlineStr">
        <is>
          <t>Zone</t>
        </is>
      </c>
      <c r="C8" s="24" t="inlineStr">
        <is>
          <t>Postazioni</t>
        </is>
      </c>
      <c r="D8" s="24" t="inlineStr">
        <is>
          <t>lista di Postazione</t>
        </is>
      </c>
      <c r="E8" s="24" t="inlineStr">
        <is>
          <t>—</t>
        </is>
      </c>
      <c r="F8" s="16" t="inlineStr">
        <is>
          <t>I tavoli della zona</t>
        </is>
      </c>
    </row>
    <row r="9">
      <c r="A9" s="24" t="inlineStr">
        <is>
          <t>Postazione</t>
        </is>
      </c>
      <c r="B9" s="24" t="inlineStr">
        <is>
          <t>Postazioni</t>
        </is>
      </c>
      <c r="C9" s="24" t="inlineStr">
        <is>
          <t>Id</t>
        </is>
      </c>
      <c r="D9" s="24" t="inlineStr">
        <is>
          <t>long</t>
        </is>
      </c>
      <c r="E9" s="24" t="inlineStr">
        <is>
          <t>Sì</t>
        </is>
      </c>
      <c r="F9" s="16" t="inlineStr">
        <is>
          <t>Chiave</t>
        </is>
      </c>
    </row>
    <row r="10">
      <c r="A10" s="24" t="inlineStr">
        <is>
          <t>Postazione</t>
        </is>
      </c>
      <c r="B10" s="24" t="inlineStr">
        <is>
          <t>Postazioni</t>
        </is>
      </c>
      <c r="C10" s="24" t="inlineStr">
        <is>
          <t>Numero</t>
        </is>
      </c>
      <c r="D10" s="24" t="inlineStr">
        <is>
          <t>int</t>
        </is>
      </c>
      <c r="E10" s="24" t="inlineStr">
        <is>
          <t>Sì</t>
        </is>
      </c>
      <c r="F10" s="16" t="inlineStr">
        <is>
          <t>Numero del tavolo</t>
        </is>
      </c>
    </row>
    <row r="11">
      <c r="A11" s="24" t="inlineStr">
        <is>
          <t>Postazione</t>
        </is>
      </c>
      <c r="B11" s="24" t="inlineStr">
        <is>
          <t>Postazioni</t>
        </is>
      </c>
      <c r="C11" s="24" t="inlineStr">
        <is>
          <t>CapienzaMassima</t>
        </is>
      </c>
      <c r="D11" s="24" t="inlineStr">
        <is>
          <t>int</t>
        </is>
      </c>
      <c r="E11" s="24" t="inlineStr">
        <is>
          <t>Sì</t>
        </is>
      </c>
      <c r="F11" s="16" t="inlineStr">
        <is>
          <t>Posti a sedere, qualsiasi numero da 1 in su</t>
        </is>
      </c>
    </row>
    <row r="12">
      <c r="A12" s="24" t="inlineStr">
        <is>
          <t>Postazione</t>
        </is>
      </c>
      <c r="B12" s="24" t="inlineStr">
        <is>
          <t>Postazioni</t>
        </is>
      </c>
      <c r="C12" s="24" t="inlineStr">
        <is>
          <t>Attiva</t>
        </is>
      </c>
      <c r="D12" s="24" t="inlineStr">
        <is>
          <t>bool</t>
        </is>
      </c>
      <c r="E12" s="24" t="inlineStr">
        <is>
          <t>Sì</t>
        </is>
      </c>
      <c r="F12" s="16" t="inlineStr">
        <is>
          <t>Spento = non viene assegnato</t>
        </is>
      </c>
    </row>
    <row r="13">
      <c r="A13" s="24" t="inlineStr">
        <is>
          <t>Postazione</t>
        </is>
      </c>
      <c r="B13" s="24" t="inlineStr">
        <is>
          <t>Postazioni</t>
        </is>
      </c>
      <c r="C13" s="24" t="inlineStr">
        <is>
          <t>ZonaId</t>
        </is>
      </c>
      <c r="D13" s="24" t="inlineStr">
        <is>
          <t>long</t>
        </is>
      </c>
      <c r="E13" s="24" t="inlineStr">
        <is>
          <t>Sì</t>
        </is>
      </c>
      <c r="F13" s="16" t="inlineStr">
        <is>
          <t>Zona del tavolo</t>
        </is>
      </c>
    </row>
    <row r="14">
      <c r="A14" s="24" t="inlineStr">
        <is>
          <t>Postazione</t>
        </is>
      </c>
      <c r="B14" s="24" t="inlineStr">
        <is>
          <t>Postazioni</t>
        </is>
      </c>
      <c r="C14" s="24" t="inlineStr">
        <is>
          <t>PrenotazioniPostazioni</t>
        </is>
      </c>
      <c r="D14" s="24" t="inlineStr">
        <is>
          <t>lista</t>
        </is>
      </c>
      <c r="E14" s="24" t="inlineStr">
        <is>
          <t>—</t>
        </is>
      </c>
      <c r="F14" s="16" t="inlineStr">
        <is>
          <t>Le prenotazioni assegnate al tavolo</t>
        </is>
      </c>
    </row>
    <row r="15">
      <c r="A15" s="24" t="inlineStr">
        <is>
          <t>FasciaOraria</t>
        </is>
      </c>
      <c r="B15" s="24" t="inlineStr">
        <is>
          <t>FasceOrarie</t>
        </is>
      </c>
      <c r="C15" s="24" t="inlineStr">
        <is>
          <t>Id</t>
        </is>
      </c>
      <c r="D15" s="24" t="inlineStr">
        <is>
          <t>long</t>
        </is>
      </c>
      <c r="E15" s="24" t="inlineStr">
        <is>
          <t>Sì</t>
        </is>
      </c>
      <c r="F15" s="16" t="inlineStr">
        <is>
          <t>Chiave</t>
        </is>
      </c>
    </row>
    <row r="16">
      <c r="A16" s="24" t="inlineStr">
        <is>
          <t>FasciaOraria</t>
        </is>
      </c>
      <c r="B16" s="24" t="inlineStr">
        <is>
          <t>FasceOrarie</t>
        </is>
      </c>
      <c r="C16" s="24" t="inlineStr">
        <is>
          <t>GiornoSettimana</t>
        </is>
      </c>
      <c r="D16" s="24" t="inlineStr">
        <is>
          <t>DayOfWeek</t>
        </is>
      </c>
      <c r="E16" s="24" t="inlineStr">
        <is>
          <t>Sì</t>
        </is>
      </c>
      <c r="F16" s="16" t="inlineStr">
        <is>
          <t>0 = domenica … 6 = sabato</t>
        </is>
      </c>
    </row>
    <row r="17">
      <c r="A17" s="24" t="inlineStr">
        <is>
          <t>FasciaOraria</t>
        </is>
      </c>
      <c r="B17" s="24" t="inlineStr">
        <is>
          <t>FasceOrarie</t>
        </is>
      </c>
      <c r="C17" s="24" t="inlineStr">
        <is>
          <t>OrarioInizio</t>
        </is>
      </c>
      <c r="D17" s="24" t="inlineStr">
        <is>
          <t>TimeOnly</t>
        </is>
      </c>
      <c r="E17" s="24" t="inlineStr">
        <is>
          <t>Sì</t>
        </is>
      </c>
      <c r="F17" s="16" t="inlineStr">
        <is>
          <t>Inizio della fascia</t>
        </is>
      </c>
    </row>
    <row r="18">
      <c r="A18" s="24" t="inlineStr">
        <is>
          <t>FasciaOraria</t>
        </is>
      </c>
      <c r="B18" s="24" t="inlineStr">
        <is>
          <t>FasceOrarie</t>
        </is>
      </c>
      <c r="C18" s="24" t="inlineStr">
        <is>
          <t>OrarioFine</t>
        </is>
      </c>
      <c r="D18" s="24" t="inlineStr">
        <is>
          <t>TimeOnly</t>
        </is>
      </c>
      <c r="E18" s="24" t="inlineStr">
        <is>
          <t>Sì</t>
        </is>
      </c>
      <c r="F18" s="16" t="inlineStr">
        <is>
          <t>Dopo l'inizio, al massimo 23:59</t>
        </is>
      </c>
    </row>
    <row r="19">
      <c r="A19" s="24" t="inlineStr">
        <is>
          <t>FasciaOraria</t>
        </is>
      </c>
      <c r="B19" s="24" t="inlineStr">
        <is>
          <t>FasceOrarie</t>
        </is>
      </c>
      <c r="C19" s="24" t="inlineStr">
        <is>
          <t>MaxCoperti</t>
        </is>
      </c>
      <c r="D19" s="24" t="inlineStr">
        <is>
          <t>int</t>
        </is>
      </c>
      <c r="E19" s="24" t="inlineStr">
        <is>
          <t>Sì</t>
        </is>
      </c>
      <c r="F19" s="16" t="inlineStr">
        <is>
          <t>Tetto di coperti: decide quando la fascia è piena</t>
        </is>
      </c>
    </row>
    <row r="20">
      <c r="A20" s="24" t="inlineStr">
        <is>
          <t>FasciaOraria</t>
        </is>
      </c>
      <c r="B20" s="24" t="inlineStr">
        <is>
          <t>FasceOrarie</t>
        </is>
      </c>
      <c r="C20" s="24" t="inlineStr">
        <is>
          <t>Attiva</t>
        </is>
      </c>
      <c r="D20" s="24" t="inlineStr">
        <is>
          <t>bool</t>
        </is>
      </c>
      <c r="E20" s="24" t="inlineStr">
        <is>
          <t>Sì</t>
        </is>
      </c>
      <c r="F20" s="16" t="inlineStr">
        <is>
          <t>Spenta = non si prenota</t>
        </is>
      </c>
    </row>
    <row r="21">
      <c r="A21" s="24" t="inlineStr">
        <is>
          <t>FasciaOraria</t>
        </is>
      </c>
      <c r="B21" s="24" t="inlineStr">
        <is>
          <t>FasceOrarie</t>
        </is>
      </c>
      <c r="C21" s="24" t="inlineStr">
        <is>
          <t>Prenotazioni</t>
        </is>
      </c>
      <c r="D21" s="24" t="inlineStr">
        <is>
          <t>lista di Prenotazione</t>
        </is>
      </c>
      <c r="E21" s="24" t="inlineStr">
        <is>
          <t>—</t>
        </is>
      </c>
      <c r="F21" s="16" t="inlineStr">
        <is>
          <t>Le prenotazioni della fascia</t>
        </is>
      </c>
    </row>
    <row r="22">
      <c r="A22" s="24" t="inlineStr">
        <is>
          <t>Prenotazione</t>
        </is>
      </c>
      <c r="B22" s="24" t="inlineStr">
        <is>
          <t>Prenotazioni</t>
        </is>
      </c>
      <c r="C22" s="24" t="inlineStr">
        <is>
          <t>Id</t>
        </is>
      </c>
      <c r="D22" s="24" t="inlineStr">
        <is>
          <t>long</t>
        </is>
      </c>
      <c r="E22" s="24" t="inlineStr">
        <is>
          <t>Sì</t>
        </is>
      </c>
      <c r="F22" s="16" t="inlineStr">
        <is>
          <t>Chiave</t>
        </is>
      </c>
    </row>
    <row r="23">
      <c r="A23" s="24" t="inlineStr">
        <is>
          <t>Prenotazione</t>
        </is>
      </c>
      <c r="B23" s="24" t="inlineStr">
        <is>
          <t>Prenotazioni</t>
        </is>
      </c>
      <c r="C23" s="24" t="inlineStr">
        <is>
          <t>DataPrenotazione</t>
        </is>
      </c>
      <c r="D23" s="24" t="inlineStr">
        <is>
          <t>DateOnly</t>
        </is>
      </c>
      <c r="E23" s="24" t="inlineStr">
        <is>
          <t>Sì</t>
        </is>
      </c>
      <c r="F23" s="16" t="inlineStr">
        <is>
          <t>Il giorno della prenotazione</t>
        </is>
      </c>
    </row>
    <row r="24">
      <c r="A24" s="24" t="inlineStr">
        <is>
          <t>Prenotazione</t>
        </is>
      </c>
      <c r="B24" s="24" t="inlineStr">
        <is>
          <t>Prenotazioni</t>
        </is>
      </c>
      <c r="C24" s="24" t="inlineStr">
        <is>
          <t>NumeroCoperti</t>
        </is>
      </c>
      <c r="D24" s="24" t="inlineStr">
        <is>
          <t>int</t>
        </is>
      </c>
      <c r="E24" s="24" t="inlineStr">
        <is>
          <t>Sì</t>
        </is>
      </c>
      <c r="F24" s="16" t="inlineStr">
        <is>
          <t>Da 1 a 50</t>
        </is>
      </c>
    </row>
    <row r="25">
      <c r="A25" s="24" t="inlineStr">
        <is>
          <t>Prenotazione</t>
        </is>
      </c>
      <c r="B25" s="24" t="inlineStr">
        <is>
          <t>Prenotazioni</t>
        </is>
      </c>
      <c r="C25" s="24" t="inlineStr">
        <is>
          <t>Stato</t>
        </is>
      </c>
      <c r="D25" s="24" t="inlineStr">
        <is>
          <t>StatoPrenotazione</t>
        </is>
      </c>
      <c r="E25" s="24" t="inlineStr">
        <is>
          <t>Sì</t>
        </is>
      </c>
      <c r="F25" s="16" t="inlineStr">
        <is>
          <t>Salvato come testo nel database</t>
        </is>
      </c>
    </row>
    <row r="26">
      <c r="A26" s="24" t="inlineStr">
        <is>
          <t>Prenotazione</t>
        </is>
      </c>
      <c r="B26" s="24" t="inlineStr">
        <is>
          <t>Prenotazioni</t>
        </is>
      </c>
      <c r="C26" s="24" t="inlineStr">
        <is>
          <t>Note</t>
        </is>
      </c>
      <c r="D26" s="24" t="inlineStr">
        <is>
          <t>string</t>
        </is>
      </c>
      <c r="E26" s="24" t="inlineStr">
        <is>
          <t>No</t>
        </is>
      </c>
      <c r="F26" s="16" t="inlineStr">
        <is>
          <t>Max 500 caratteri</t>
        </is>
      </c>
    </row>
    <row r="27">
      <c r="A27" s="24" t="inlineStr">
        <is>
          <t>Prenotazione</t>
        </is>
      </c>
      <c r="B27" s="24" t="inlineStr">
        <is>
          <t>Prenotazioni</t>
        </is>
      </c>
      <c r="C27" s="24" t="inlineStr">
        <is>
          <t>NomeCliente</t>
        </is>
      </c>
      <c r="D27" s="24" t="inlineStr">
        <is>
          <t>string</t>
        </is>
      </c>
      <c r="E27" s="24" t="inlineStr">
        <is>
          <t>No</t>
        </is>
      </c>
      <c r="F27" s="16" t="inlineStr">
        <is>
          <t>Chi ha chiamato, se prenota lo Staff. Max 200</t>
        </is>
      </c>
    </row>
    <row r="28">
      <c r="A28" s="24" t="inlineStr">
        <is>
          <t>Prenotazione</t>
        </is>
      </c>
      <c r="B28" s="24" t="inlineStr">
        <is>
          <t>Prenotazioni</t>
        </is>
      </c>
      <c r="C28" s="24" t="inlineStr">
        <is>
          <t>UserId</t>
        </is>
      </c>
      <c r="D28" s="24" t="inlineStr">
        <is>
          <t>string</t>
        </is>
      </c>
      <c r="E28" s="24" t="inlineStr">
        <is>
          <t>Sì</t>
        </is>
      </c>
      <c r="F28" s="16" t="inlineStr">
        <is>
          <t>Chi l'ha creata. Un utente con prenotazioni non si elimina</t>
        </is>
      </c>
    </row>
    <row r="29">
      <c r="A29" s="24" t="inlineStr">
        <is>
          <t>Prenotazione</t>
        </is>
      </c>
      <c r="B29" s="24" t="inlineStr">
        <is>
          <t>Prenotazioni</t>
        </is>
      </c>
      <c r="C29" s="24" t="inlineStr">
        <is>
          <t>FasciaOrariaId</t>
        </is>
      </c>
      <c r="D29" s="24" t="inlineStr">
        <is>
          <t>long</t>
        </is>
      </c>
      <c r="E29" s="24" t="inlineStr">
        <is>
          <t>Sì</t>
        </is>
      </c>
      <c r="F29" s="16" t="inlineStr">
        <is>
          <t>La fascia oraria</t>
        </is>
      </c>
    </row>
    <row r="30">
      <c r="A30" s="24" t="inlineStr">
        <is>
          <t>Prenotazione</t>
        </is>
      </c>
      <c r="B30" s="24" t="inlineStr">
        <is>
          <t>Prenotazioni</t>
        </is>
      </c>
      <c r="C30" s="24" t="inlineStr">
        <is>
          <t>PrenotazioniPostazioni</t>
        </is>
      </c>
      <c r="D30" s="24" t="inlineStr">
        <is>
          <t>lista</t>
        </is>
      </c>
      <c r="E30" s="24" t="inlineStr">
        <is>
          <t>—</t>
        </is>
      </c>
      <c r="F30" s="16" t="inlineStr">
        <is>
          <t>I tavoli assegnati</t>
        </is>
      </c>
    </row>
    <row r="31">
      <c r="A31" s="24" t="inlineStr">
        <is>
          <t>PrenotazionePostazione</t>
        </is>
      </c>
      <c r="B31" s="24" t="inlineStr">
        <is>
          <t>PrenotazioniPostazioni</t>
        </is>
      </c>
      <c r="C31" s="24" t="inlineStr">
        <is>
          <t>PostazioneId</t>
        </is>
      </c>
      <c r="D31" s="24" t="inlineStr">
        <is>
          <t>long</t>
        </is>
      </c>
      <c r="E31" s="24" t="inlineStr">
        <is>
          <t>Sì</t>
        </is>
      </c>
      <c r="F31" s="16" t="inlineStr">
        <is>
          <t>Chiave, insieme a PrenotazioneId</t>
        </is>
      </c>
    </row>
    <row r="32">
      <c r="A32" s="24" t="inlineStr">
        <is>
          <t>PrenotazionePostazione</t>
        </is>
      </c>
      <c r="B32" s="24" t="inlineStr">
        <is>
          <t>PrenotazioniPostazioni</t>
        </is>
      </c>
      <c r="C32" s="24" t="inlineStr">
        <is>
          <t>PrenotazioneId</t>
        </is>
      </c>
      <c r="D32" s="24" t="inlineStr">
        <is>
          <t>long</t>
        </is>
      </c>
      <c r="E32" s="24" t="inlineStr">
        <is>
          <t>Sì</t>
        </is>
      </c>
      <c r="F32" s="16" t="inlineStr">
        <is>
          <t>Chiave, insieme a PostazioneId</t>
        </is>
      </c>
    </row>
    <row r="33">
      <c r="A33" s="24" t="inlineStr">
        <is>
          <t>PrenotazionePostazione</t>
        </is>
      </c>
      <c r="B33" s="24" t="inlineStr">
        <is>
          <t>PrenotazioniPostazioni</t>
        </is>
      </c>
      <c r="C33" s="24" t="inlineStr">
        <is>
          <t>NumeroPosti</t>
        </is>
      </c>
      <c r="D33" s="24" t="inlineStr">
        <is>
          <t>int</t>
        </is>
      </c>
      <c r="E33" s="24" t="inlineStr">
        <is>
          <t>Sì</t>
        </is>
      </c>
      <c r="F33" s="16" t="inlineStr">
        <is>
          <t>Posti usati su quel tavolo</t>
        </is>
      </c>
    </row>
    <row r="34">
      <c r="A34" s="24" t="inlineStr">
        <is>
          <t>PrenotazionePostazione</t>
        </is>
      </c>
      <c r="B34" s="24" t="inlineStr">
        <is>
          <t>PrenotazioniPostazioni</t>
        </is>
      </c>
      <c r="C34" s="24" t="inlineStr">
        <is>
          <t>DataPrenotazione</t>
        </is>
      </c>
      <c r="D34" s="24" t="inlineStr">
        <is>
          <t>DateOnly</t>
        </is>
      </c>
      <c r="E34" s="24" t="inlineStr">
        <is>
          <t>Sì</t>
        </is>
      </c>
      <c r="F34" s="16" t="inlineStr">
        <is>
          <t>Copiata dalla prenotazione</t>
        </is>
      </c>
    </row>
    <row r="35">
      <c r="A35" s="24" t="inlineStr">
        <is>
          <t>PrenotazionePostazione</t>
        </is>
      </c>
      <c r="B35" s="24" t="inlineStr">
        <is>
          <t>PrenotazioniPostazioni</t>
        </is>
      </c>
      <c r="C35" s="24" t="inlineStr">
        <is>
          <t>FasciaOrariaId</t>
        </is>
      </c>
      <c r="D35" s="24" t="inlineStr">
        <is>
          <t>long</t>
        </is>
      </c>
      <c r="E35" s="24" t="inlineStr">
        <is>
          <t>Sì</t>
        </is>
      </c>
      <c r="F35" s="16" t="inlineStr">
        <is>
          <t>Indice unico tavolo + data + fascia: un tavolo non si prenota due volte</t>
        </is>
      </c>
    </row>
    <row r="36">
      <c r="A36" s="24" t="inlineStr">
        <is>
          <t>Logging</t>
        </is>
      </c>
      <c r="B36" s="24" t="inlineStr">
        <is>
          <t>LogActivities</t>
        </is>
      </c>
      <c r="C36" s="24" t="inlineStr">
        <is>
          <t>Id</t>
        </is>
      </c>
      <c r="D36" s="24" t="inlineStr">
        <is>
          <t>long</t>
        </is>
      </c>
      <c r="E36" s="24" t="inlineStr">
        <is>
          <t>Sì</t>
        </is>
      </c>
      <c r="F36" s="16" t="inlineStr">
        <is>
          <t>Chiave</t>
        </is>
      </c>
    </row>
    <row r="37">
      <c r="A37" s="24" t="inlineStr">
        <is>
          <t>Logging</t>
        </is>
      </c>
      <c r="B37" s="24" t="inlineStr">
        <is>
          <t>LogActivities</t>
        </is>
      </c>
      <c r="C37" s="24" t="inlineStr">
        <is>
          <t>UserId</t>
        </is>
      </c>
      <c r="D37" s="24" t="inlineStr">
        <is>
          <t>string</t>
        </is>
      </c>
      <c r="E37" s="24" t="inlineStr">
        <is>
          <t>Sì</t>
        </is>
      </c>
      <c r="F37" s="16" t="inlineStr">
        <is>
          <t>Chi ha fatto l'azione (max 450)</t>
        </is>
      </c>
    </row>
    <row r="38">
      <c r="A38" s="24" t="inlineStr">
        <is>
          <t>Logging</t>
        </is>
      </c>
      <c r="B38" s="24" t="inlineStr">
        <is>
          <t>LogActivities</t>
        </is>
      </c>
      <c r="C38" s="24" t="inlineStr">
        <is>
          <t>Action</t>
        </is>
      </c>
      <c r="D38" s="24" t="inlineStr">
        <is>
          <t>string</t>
        </is>
      </c>
      <c r="E38" s="24" t="inlineStr">
        <is>
          <t>Sì</t>
        </is>
      </c>
      <c r="F38" s="16" t="inlineStr">
        <is>
          <t>Cosa ha fatto (max 500)</t>
        </is>
      </c>
    </row>
    <row r="39">
      <c r="A39" s="24" t="inlineStr">
        <is>
          <t>Logging</t>
        </is>
      </c>
      <c r="B39" s="24" t="inlineStr">
        <is>
          <t>LogActivities</t>
        </is>
      </c>
      <c r="C39" s="24" t="inlineStr">
        <is>
          <t>Timestamp</t>
        </is>
      </c>
      <c r="D39" s="24" t="inlineStr">
        <is>
          <t>DateTime</t>
        </is>
      </c>
      <c r="E39" s="24" t="inlineStr">
        <is>
          <t>Sì</t>
        </is>
      </c>
      <c r="F39" s="16" t="inlineStr">
        <is>
          <t>Quando. Indicizzato, anche insieme a UserId</t>
        </is>
      </c>
    </row>
    <row r="40">
      <c r="A40" s="24" t="inlineStr">
        <is>
          <t>Logging</t>
        </is>
      </c>
      <c r="B40" s="24" t="inlineStr">
        <is>
          <t>LogActivities</t>
        </is>
      </c>
      <c r="C40" s="24" t="inlineStr">
        <is>
          <t>IPAddress</t>
        </is>
      </c>
      <c r="D40" s="24" t="inlineStr">
        <is>
          <t>string</t>
        </is>
      </c>
      <c r="E40" s="24" t="inlineStr">
        <is>
          <t>No</t>
        </is>
      </c>
      <c r="F40" s="16" t="inlineStr">
        <is>
          <t>Da dove (max 45)</t>
        </is>
      </c>
    </row>
    <row r="41">
      <c r="A41" s="24" t="inlineStr">
        <is>
          <t>ApplicationUser</t>
        </is>
      </c>
      <c r="B41" s="24" t="inlineStr">
        <is>
          <t>Utenti</t>
        </is>
      </c>
      <c r="C41" s="24" t="inlineStr">
        <is>
          <t>(campi di Identity)</t>
        </is>
      </c>
      <c r="D41" s="24" t="inlineStr">
        <is>
          <t>IdentityUser</t>
        </is>
      </c>
      <c r="E41" s="24" t="inlineStr">
        <is>
          <t>Sì</t>
        </is>
      </c>
      <c r="F41" s="16" t="inlineStr">
        <is>
          <t>Nome utente, email, password cifrata, security stamp</t>
        </is>
      </c>
    </row>
    <row r="42">
      <c r="A42" s="24" t="inlineStr">
        <is>
          <t>ApplicationUser</t>
        </is>
      </c>
      <c r="B42" s="24" t="inlineStr">
        <is>
          <t>Utenti</t>
        </is>
      </c>
      <c r="C42" s="24" t="inlineStr">
        <is>
          <t>Prenotazioni</t>
        </is>
      </c>
      <c r="D42" s="24" t="inlineStr">
        <is>
          <t>lista di Prenotazione</t>
        </is>
      </c>
      <c r="E42" s="24" t="inlineStr">
        <is>
          <t>—</t>
        </is>
      </c>
      <c r="F42" s="16" t="inlineStr">
        <is>
          <t>Le prenotazioni create dall'utente</t>
        </is>
      </c>
    </row>
    <row r="43">
      <c r="A43" s="24" t="inlineStr">
        <is>
          <t>IdentityRole</t>
        </is>
      </c>
      <c r="B43" s="24" t="inlineStr">
        <is>
          <t>Ruoli</t>
        </is>
      </c>
      <c r="C43" s="24" t="inlineStr">
        <is>
          <t>Name</t>
        </is>
      </c>
      <c r="D43" s="24" t="inlineStr">
        <is>
          <t>string</t>
        </is>
      </c>
      <c r="E43" s="24" t="inlineStr">
        <is>
          <t>Sì</t>
        </is>
      </c>
      <c r="F43" s="16" t="inlineStr">
        <is>
          <t>Admin, Staff, Cliente. Creati all'avvio se mancano</t>
        </is>
      </c>
    </row>
    <row r="44">
      <c r="A44" s="24" t="inlineStr">
        <is>
          <t>StatoPrenotazione (enum)</t>
        </is>
      </c>
      <c r="B44" s="24" t="inlineStr">
        <is>
          <t>—</t>
        </is>
      </c>
      <c r="C44" s="24" t="inlineStr">
        <is>
          <t>Attiva = 0</t>
        </is>
      </c>
      <c r="D44" s="24" t="inlineStr">
        <is>
          <t>valore</t>
        </is>
      </c>
      <c r="E44" s="24" t="inlineStr">
        <is>
          <t>—</t>
        </is>
      </c>
      <c r="F44" s="16" t="inlineStr">
        <is>
          <t>Appena creata</t>
        </is>
      </c>
    </row>
    <row r="45">
      <c r="A45" s="24" t="inlineStr">
        <is>
          <t>StatoPrenotazione (enum)</t>
        </is>
      </c>
      <c r="B45" s="24" t="inlineStr">
        <is>
          <t>—</t>
        </is>
      </c>
      <c r="C45" s="24" t="inlineStr">
        <is>
          <t>InCorso = 1</t>
        </is>
      </c>
      <c r="D45" s="24" t="inlineStr">
        <is>
          <t>valore</t>
        </is>
      </c>
      <c r="E45" s="24" t="inlineStr">
        <is>
          <t>—</t>
        </is>
      </c>
      <c r="F45" s="16" t="inlineStr">
        <is>
          <t>Confermata: il cliente è arrivato</t>
        </is>
      </c>
    </row>
    <row r="46">
      <c r="A46" s="24" t="inlineStr">
        <is>
          <t>StatoPrenotazione (enum)</t>
        </is>
      </c>
      <c r="B46" s="24" t="inlineStr">
        <is>
          <t>—</t>
        </is>
      </c>
      <c r="C46" s="24" t="inlineStr">
        <is>
          <t>Annullata = 2</t>
        </is>
      </c>
      <c r="D46" s="24" t="inlineStr">
        <is>
          <t>valore</t>
        </is>
      </c>
      <c r="E46" s="24" t="inlineStr">
        <is>
          <t>—</t>
        </is>
      </c>
      <c r="F46" s="16" t="inlineStr">
        <is>
          <t>Annullata prima della fine della fascia</t>
        </is>
      </c>
    </row>
    <row r="47">
      <c r="A47" s="24" t="inlineStr">
        <is>
          <t>StatoPrenotazione (enum)</t>
        </is>
      </c>
      <c r="B47" s="24" t="inlineStr">
        <is>
          <t>—</t>
        </is>
      </c>
      <c r="C47" s="24" t="inlineStr">
        <is>
          <t>Completata = 3</t>
        </is>
      </c>
      <c r="D47" s="24" t="inlineStr">
        <is>
          <t>valore</t>
        </is>
      </c>
      <c r="E47" s="24" t="inlineStr">
        <is>
          <t>—</t>
        </is>
      </c>
      <c r="F47" s="16" t="inlineStr">
        <is>
          <t>Chiusa dallo Staff o dal job notturno</t>
        </is>
      </c>
    </row>
    <row r="48">
      <c r="A48" s="24" t="inlineStr">
        <is>
          <t>StatoPrenotazione (enum)</t>
        </is>
      </c>
      <c r="B48" s="24" t="inlineStr">
        <is>
          <t>—</t>
        </is>
      </c>
      <c r="C48" s="24" t="inlineStr">
        <is>
          <t>NonPresentata = 4</t>
        </is>
      </c>
      <c r="D48" s="24" t="inlineStr">
        <is>
          <t>valore</t>
        </is>
      </c>
      <c r="E48" s="24" t="inlineStr">
        <is>
          <t>—</t>
        </is>
      </c>
      <c r="F48" s="16" t="inlineStr">
        <is>
          <t>Il cliente non si è presentato (segnato di notte)</t>
        </is>
      </c>
    </row>
  </sheetData>
  <mergeCells count="1">
    <mergeCell ref="A1:F1"/>
  </mergeCells>
  <conditionalFormatting sqref="E5:E1000">
    <cfRule type="expression" priority="1" dxfId="0">
      <formula>$E5="Sì"</formula>
    </cfRule>
    <cfRule type="expression" priority="2" dxfId="1">
      <formula>$E5="No"</formula>
    </cfRule>
  </conditionalFormatting>
  <hyperlinks>
    <hyperlink ref="F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E5FAD"/>
    <outlinePr summaryBelow="1" summaryRight="1"/>
    <pageSetUpPr/>
  </sheetPr>
  <dimension ref="A1:D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50" customWidth="1" min="3" max="3"/>
    <col width="70" customWidth="1" min="4" max="4"/>
  </cols>
  <sheetData>
    <row r="1" ht="34" customHeight="1">
      <c r="A1" s="20" t="inlineStr">
        <is>
          <t>BE · DTO — I DATI CHE VIAGGIANO NELLE CHIAMATE</t>
        </is>
      </c>
      <c r="B1" s="21" t="n"/>
      <c r="C1" s="21" t="n"/>
      <c r="D1" s="21" t="n"/>
    </row>
    <row r="2" ht="20" customHeight="1">
      <c r="A2" s="3" t="inlineStr">
        <is>
          <t>Non sono tabelle: sono le forme dei dati in entrata e in uscita dall'API. Stanno nelle cartelle DTOs dei servizi.</t>
        </is>
      </c>
      <c r="D2" s="22" t="inlineStr">
        <is>
          <t>← Torna alla Dashboard</t>
        </is>
      </c>
    </row>
    <row r="4" ht="24" customHeight="1">
      <c r="A4" s="23" t="inlineStr">
        <is>
          <t>DTO</t>
        </is>
      </c>
      <c r="B4" s="23" t="inlineStr">
        <is>
          <t>Area</t>
        </is>
      </c>
      <c r="C4" s="23" t="inlineStr">
        <is>
          <t>Serve a</t>
        </is>
      </c>
      <c r="D4" s="23" t="inlineStr">
        <is>
          <t>Campi principali</t>
        </is>
      </c>
    </row>
    <row r="5">
      <c r="A5" s="24" t="inlineStr">
        <is>
          <t>ZonaDTO</t>
        </is>
      </c>
      <c r="B5" s="24" t="inlineStr">
        <is>
          <t>Zone</t>
        </is>
      </c>
      <c r="C5" s="16" t="inlineStr">
        <is>
          <t>Creare, modificare e leggere una zona</t>
        </is>
      </c>
      <c r="D5" s="16" t="inlineStr">
        <is>
          <t>Id, Nome, Attiva</t>
        </is>
      </c>
    </row>
    <row r="6">
      <c r="A6" s="24" t="inlineStr">
        <is>
          <t>PostazioneDTO</t>
        </is>
      </c>
      <c r="B6" s="24" t="inlineStr">
        <is>
          <t>Tavoli</t>
        </is>
      </c>
      <c r="C6" s="16" t="inlineStr">
        <is>
          <t>Creare e leggere un tavolo</t>
        </is>
      </c>
      <c r="D6" s="16" t="inlineStr">
        <is>
          <t>Id, Numero, CapienzaMassima, ZonaId, Attiva</t>
        </is>
      </c>
    </row>
    <row r="7">
      <c r="A7" s="24" t="inlineStr">
        <is>
          <t>PostazioneUpdateDTO</t>
        </is>
      </c>
      <c r="B7" s="24" t="inlineStr">
        <is>
          <t>Tavoli</t>
        </is>
      </c>
      <c r="C7" s="16" t="inlineStr">
        <is>
          <t>Modificare un tavolo</t>
        </is>
      </c>
      <c r="D7" s="16" t="inlineStr">
        <is>
          <t>Id, Numero, CapienzaMassima, ZonaId, Attiva</t>
        </is>
      </c>
    </row>
    <row r="8">
      <c r="A8" s="24" t="inlineStr">
        <is>
          <t>PostazioniDisponibiliDTO</t>
        </is>
      </c>
      <c r="B8" s="24" t="inlineStr">
        <is>
          <t>Tavoli</t>
        </is>
      </c>
      <c r="C8" s="16" t="inlineStr">
        <is>
          <t>Tavoli liberi in una data e fascia</t>
        </is>
      </c>
      <c r="D8" s="16" t="inlineStr">
        <is>
          <t>Id, Numero, CapienzaMassima, ZonaId, Unita</t>
        </is>
      </c>
    </row>
    <row r="9">
      <c r="A9" s="24" t="inlineStr">
        <is>
          <t>AssociaPostazioniDTO</t>
        </is>
      </c>
      <c r="B9" s="24" t="inlineStr">
        <is>
          <t>Tavoli</t>
        </is>
      </c>
      <c r="C9" s="16" t="inlineStr">
        <is>
          <t>Spostare un tavolo in un'altra zona</t>
        </is>
      </c>
      <c r="D9" s="16" t="inlineStr">
        <is>
          <t>PostazioneId, ZonaId</t>
        </is>
      </c>
    </row>
    <row r="10">
      <c r="A10" s="24" t="inlineStr">
        <is>
          <t>RiepilogoSalaDTO</t>
        </is>
      </c>
      <c r="B10" s="24" t="inlineStr">
        <is>
          <t>Tavoli</t>
        </is>
      </c>
      <c r="C10" s="16" t="inlineStr">
        <is>
          <t>Riepilogo della sala in cima a Postazioni</t>
        </is>
      </c>
      <c r="D10" s="16" t="inlineStr">
        <is>
          <t>TavoliAttivi, PostiTotali, Fasce</t>
        </is>
      </c>
    </row>
    <row r="11">
      <c r="A11" s="24" t="inlineStr">
        <is>
          <t>RiepilogoFasciaDTO</t>
        </is>
      </c>
      <c r="B11" s="24" t="inlineStr">
        <is>
          <t>Tavoli</t>
        </is>
      </c>
      <c r="C11" s="16" t="inlineStr">
        <is>
          <t>Posti dei tavoli confrontati col tetto della fascia</t>
        </is>
      </c>
      <c r="D11" s="16" t="inlineStr">
        <is>
          <t>GiornoSettimana, orari, MaxCoperti, PostiTavoli, TettoCoperto</t>
        </is>
      </c>
    </row>
    <row r="12">
      <c r="A12" s="24" t="inlineStr">
        <is>
          <t>FasciaOrariaDTO</t>
        </is>
      </c>
      <c r="B12" s="24" t="inlineStr">
        <is>
          <t>Fasce orarie</t>
        </is>
      </c>
      <c r="C12" s="16" t="inlineStr">
        <is>
          <t>Creare, modificare e leggere una fascia</t>
        </is>
      </c>
      <c r="D12" s="16" t="inlineStr">
        <is>
          <t>Id, OrarioInizio, OrarioFine, GiornoSettimana, MaxCoperti, Attiva</t>
        </is>
      </c>
    </row>
    <row r="13">
      <c r="A13" s="24" t="inlineStr">
        <is>
          <t>DisponibilitaFasciaDTO</t>
        </is>
      </c>
      <c r="B13" s="24" t="inlineStr">
        <is>
          <t>Fasce orarie</t>
        </is>
      </c>
      <c r="C13" s="16" t="inlineStr">
        <is>
          <t>Posti liberi in una fascia</t>
        </is>
      </c>
      <c r="D13" s="16" t="inlineStr">
        <is>
          <t>FasciaId, PostiTotali, PostiOccupati, PostiDisponibili</t>
        </is>
      </c>
    </row>
    <row r="14">
      <c r="A14" s="24" t="inlineStr">
        <is>
          <t>PrenotazioneCreateDTO</t>
        </is>
      </c>
      <c r="B14" s="24" t="inlineStr">
        <is>
          <t>Prenotazioni</t>
        </is>
      </c>
      <c r="C14" s="16" t="inlineStr">
        <is>
          <t>Creare o modificare una prenotazione</t>
        </is>
      </c>
      <c r="D14" s="16" t="inlineStr">
        <is>
          <t>DataPrenotazione, NumeroCoperti, FasciaOrariaId, ZonaId, Note, NomeCliente</t>
        </is>
      </c>
    </row>
    <row r="15">
      <c r="A15" s="24" t="inlineStr">
        <is>
          <t>PrenotazioneDTO</t>
        </is>
      </c>
      <c r="B15" s="24" t="inlineStr">
        <is>
          <t>Prenotazioni</t>
        </is>
      </c>
      <c r="C15" s="16" t="inlineStr">
        <is>
          <t>Prenotazione restituita dall'API</t>
        </is>
      </c>
      <c r="D15" s="16" t="inlineStr">
        <is>
          <t>Id, data, coperti, Stato, orari, Postazioni, NumeroTurno</t>
        </is>
      </c>
    </row>
    <row r="16">
      <c r="A16" s="24" t="inlineStr">
        <is>
          <t>PostazioneAssegnataDTO</t>
        </is>
      </c>
      <c r="B16" s="24" t="inlineStr">
        <is>
          <t>Prenotazioni</t>
        </is>
      </c>
      <c r="C16" s="16" t="inlineStr">
        <is>
          <t>Un tavolo assegnato a una prenotazione</t>
        </is>
      </c>
      <c r="D16" s="16" t="inlineStr">
        <is>
          <t>Numero, NomeZona, ZonaId, NumeroPosti</t>
        </is>
      </c>
    </row>
    <row r="17">
      <c r="A17" s="24" t="inlineStr">
        <is>
          <t>PrenotazioniQueryParams</t>
        </is>
      </c>
      <c r="B17" s="24" t="inlineStr">
        <is>
          <t>Prenotazioni</t>
        </is>
      </c>
      <c r="C17" s="16" t="inlineStr">
        <is>
          <t>Filtri e pagine dell'elenco prenotazioni</t>
        </is>
      </c>
      <c r="D17" s="16" t="inlineStr">
        <is>
          <t>Data, Stato, FasciaOrariaId, pagina</t>
        </is>
      </c>
    </row>
    <row r="18">
      <c r="A18" s="24" t="inlineStr">
        <is>
          <t>CheckDisponibilitaDTO</t>
        </is>
      </c>
      <c r="B18" s="24" t="inlineStr">
        <is>
          <t>Disponibilità</t>
        </is>
      </c>
      <c r="C18" s="16" t="inlineStr">
        <is>
          <t>Domanda: «c'è posto in questa data?»</t>
        </is>
      </c>
      <c r="D18" s="16" t="inlineStr">
        <is>
          <t>DataPrenotazione, NumeroCoperti</t>
        </is>
      </c>
    </row>
    <row r="19">
      <c r="A19" s="24" t="inlineStr">
        <is>
          <t>DisponibilitaResponseDTO</t>
        </is>
      </c>
      <c r="B19" s="24" t="inlineStr">
        <is>
          <t>Disponibilità</t>
        </is>
      </c>
      <c r="C19" s="16" t="inlineStr">
        <is>
          <t>Risposta con l'elenco delle fasce</t>
        </is>
      </c>
      <c r="D19" s="16" t="inlineStr">
        <is>
          <t>Fasce</t>
        </is>
      </c>
    </row>
    <row r="20">
      <c r="A20" s="24" t="inlineStr">
        <is>
          <t>FasciaDisponibilitaDTO</t>
        </is>
      </c>
      <c r="B20" s="24" t="inlineStr">
        <is>
          <t>Disponibilità</t>
        </is>
      </c>
      <c r="C20" s="16" t="inlineStr">
        <is>
          <t>Una fascia con i posti residui</t>
        </is>
      </c>
      <c r="D20" s="16" t="inlineStr">
        <is>
          <t>orari, MaxCoperti, PostiResiduiFascia, DisponibilePerRichiesta, Messaggio</t>
        </is>
      </c>
    </row>
    <row r="21">
      <c r="A21" s="24" t="inlineStr">
        <is>
          <t>PostazioneDisponibilitaDTO</t>
        </is>
      </c>
      <c r="B21" s="24" t="inlineStr">
        <is>
          <t>Disponibilità</t>
        </is>
      </c>
      <c r="C21" s="16" t="inlineStr">
        <is>
          <t>Un tavolo con i posti liberi</t>
        </is>
      </c>
      <c r="D21" s="16" t="inlineStr">
        <is>
          <t>PostazioneId, Numero, Capienza, PostiDisponibili</t>
        </is>
      </c>
    </row>
    <row r="22">
      <c r="A22" s="24" t="inlineStr">
        <is>
          <t>DashboardGiornalieroDTO</t>
        </is>
      </c>
      <c r="B22" s="24" t="inlineStr">
        <is>
          <t>Dashboard</t>
        </is>
      </c>
      <c r="C22" s="16" t="inlineStr">
        <is>
          <t>Numeri del giorno</t>
        </is>
      </c>
      <c r="D22" s="16" t="inlineStr">
        <is>
          <t>totali per stato, coperti, tavoli occupati e liberi, CopertiPerFascia</t>
        </is>
      </c>
    </row>
    <row r="23">
      <c r="A23" s="24" t="inlineStr">
        <is>
          <t>CopertiFasciaDTO</t>
        </is>
      </c>
      <c r="B23" s="24" t="inlineStr">
        <is>
          <t>Dashboard</t>
        </is>
      </c>
      <c r="C23" s="16" t="inlineStr">
        <is>
          <t>Coperti di una fascia nel giorno</t>
        </is>
      </c>
      <c r="D23" s="16" t="inlineStr">
        <is>
          <t>MaxCoperti, CopertiPrenotati, CopertiOltreIlTetto, tavoli</t>
        </is>
      </c>
    </row>
    <row r="24">
      <c r="A24" s="24" t="inlineStr">
        <is>
          <t>DashboardSettimanaleDTO</t>
        </is>
      </c>
      <c r="B24" s="24" t="inlineStr">
        <is>
          <t>Dashboard</t>
        </is>
      </c>
      <c r="C24" s="16" t="inlineStr">
        <is>
          <t>Numeri della settimana</t>
        </is>
      </c>
      <c r="D24" s="16" t="inlineStr">
        <is>
          <t>TotalePrenotazioni, TotaleCoperti, TassoAnnullamento, TassoNoShow, Giorni</t>
        </is>
      </c>
    </row>
    <row r="25">
      <c r="A25" s="24" t="inlineStr">
        <is>
          <t>GiornoSettimanaleDTO</t>
        </is>
      </c>
      <c r="B25" s="24" t="inlineStr">
        <is>
          <t>Dashboard</t>
        </is>
      </c>
      <c r="C25" s="16" t="inlineStr">
        <is>
          <t>Un giorno della settimana</t>
        </is>
      </c>
      <c r="D25" s="16" t="inlineStr">
        <is>
          <t>NumeroPrenotazioni, NumeroCoperti, Annullate, NonPresentate</t>
        </is>
      </c>
    </row>
    <row r="26">
      <c r="A26" s="24" t="inlineStr">
        <is>
          <t>RegisterDTO</t>
        </is>
      </c>
      <c r="B26" s="24" t="inlineStr">
        <is>
          <t>Utenti</t>
        </is>
      </c>
      <c r="C26" s="16" t="inlineStr">
        <is>
          <t>Registrazione e creazione utente</t>
        </is>
      </c>
      <c r="D26" s="16" t="inlineStr">
        <is>
          <t>Username, Email, Password</t>
        </is>
      </c>
    </row>
    <row r="27">
      <c r="A27" s="24" t="inlineStr">
        <is>
          <t>UpdateUserDTO</t>
        </is>
      </c>
      <c r="B27" s="24" t="inlineStr">
        <is>
          <t>Utenti</t>
        </is>
      </c>
      <c r="C27" s="16" t="inlineStr">
        <is>
          <t>Modificare nome o email</t>
        </is>
      </c>
      <c r="D27" s="16" t="inlineStr">
        <is>
          <t>UserName, Email</t>
        </is>
      </c>
    </row>
    <row r="28">
      <c r="A28" s="24" t="inlineStr">
        <is>
          <t>UserResponseDTO</t>
        </is>
      </c>
      <c r="B28" s="24" t="inlineStr">
        <is>
          <t>Utenti</t>
        </is>
      </c>
      <c r="C28" s="16" t="inlineStr">
        <is>
          <t>Utente nell'elenco dell'Admin</t>
        </is>
      </c>
      <c r="D28" s="16" t="inlineStr">
        <is>
          <t>Id, UserName, Email, Roles</t>
        </is>
      </c>
    </row>
    <row r="29">
      <c r="A29" s="24" t="inlineStr">
        <is>
          <t>AssignRoleDTO</t>
        </is>
      </c>
      <c r="B29" s="24" t="inlineStr">
        <is>
          <t>Utenti</t>
        </is>
      </c>
      <c r="C29" s="16" t="inlineStr">
        <is>
          <t>Dare o togliere un ruolo</t>
        </is>
      </c>
      <c r="D29" s="16" t="inlineStr">
        <is>
          <t>UserId, Role</t>
        </is>
      </c>
    </row>
    <row r="30">
      <c r="A30" s="24" t="inlineStr">
        <is>
          <t>AdminResetPasswordDTO</t>
        </is>
      </c>
      <c r="B30" s="24" t="inlineStr">
        <is>
          <t>Utenti</t>
        </is>
      </c>
      <c r="C30" s="16" t="inlineStr">
        <is>
          <t>Nuova password scelta dall'Admin</t>
        </is>
      </c>
      <c r="D30" s="16" t="inlineStr">
        <is>
          <t>NewPassword</t>
        </is>
      </c>
    </row>
    <row r="31">
      <c r="A31" s="24" t="inlineStr">
        <is>
          <t>SetupStatoDTO</t>
        </is>
      </c>
      <c r="B31" s="24" t="inlineStr">
        <is>
          <t>Primo avvio</t>
        </is>
      </c>
      <c r="C31" s="16" t="inlineStr">
        <is>
          <t>Dice se esiste già un Admin</t>
        </is>
      </c>
      <c r="D31" s="16" t="inlineStr">
        <is>
          <t>SetupCompletato</t>
        </is>
      </c>
    </row>
    <row r="32">
      <c r="A32" s="24" t="inlineStr">
        <is>
          <t>LoginRequest</t>
        </is>
      </c>
      <c r="B32" s="24" t="inlineStr">
        <is>
          <t>Utenti</t>
        </is>
      </c>
      <c r="C32" s="16" t="inlineStr">
        <is>
          <t>Login (classe di ASP.NET, non nostra)</t>
        </is>
      </c>
      <c r="D32" s="16" t="inlineStr">
        <is>
          <t>Email, Password</t>
        </is>
      </c>
    </row>
    <row r="33">
      <c r="A33" s="24" t="inlineStr">
        <is>
          <t>LogActivityDTO</t>
        </is>
      </c>
      <c r="B33" s="24" t="inlineStr">
        <is>
          <t>Registro</t>
        </is>
      </c>
      <c r="C33" s="16" t="inlineStr">
        <is>
          <t>Una riga del registro azioni</t>
        </is>
      </c>
      <c r="D33" s="16" t="inlineStr">
        <is>
          <t>UserName, Action, Timestamp, IPAddress</t>
        </is>
      </c>
    </row>
    <row r="34">
      <c r="A34" s="24" t="inlineStr">
        <is>
          <t>LogActivityQueryParams</t>
        </is>
      </c>
      <c r="B34" s="24" t="inlineStr">
        <is>
          <t>Registro</t>
        </is>
      </c>
      <c r="C34" s="16" t="inlineStr">
        <is>
          <t>Filtri del registro</t>
        </is>
      </c>
      <c r="D34" s="16" t="inlineStr">
        <is>
          <t>UserId, Da, A, Azione</t>
        </is>
      </c>
    </row>
    <row r="35">
      <c r="A35" s="24" t="inlineStr">
        <is>
          <t>PagedResult&lt;T&gt;</t>
        </is>
      </c>
      <c r="B35" s="24" t="inlineStr">
        <is>
          <t>Comune</t>
        </is>
      </c>
      <c r="C35" s="16" t="inlineStr">
        <is>
          <t>Elenco a pagine</t>
        </is>
      </c>
      <c r="D35" s="16" t="inlineStr">
        <is>
          <t>Items, TotalCount, Page, PageSize</t>
        </is>
      </c>
    </row>
    <row r="36">
      <c r="A36" s="24" t="inlineStr">
        <is>
          <t>ErrorDetails / ErrorItem</t>
        </is>
      </c>
      <c r="B36" s="24" t="inlineStr">
        <is>
          <t>Comune</t>
        </is>
      </c>
      <c r="C36" s="16" t="inlineStr">
        <is>
          <t>Forma unica delle risposte di errore</t>
        </is>
      </c>
      <c r="D36" s="16" t="inlineStr">
        <is>
          <t>StatusCode, Message, Errors (Field, Error)</t>
        </is>
      </c>
    </row>
  </sheetData>
  <mergeCells count="1">
    <mergeCell ref="A1:D1"/>
  </mergeCells>
  <hyperlinks>
    <hyperlink ref="D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E5FAD"/>
    <outlinePr summaryBelow="1" summaryRight="1"/>
    <pageSetUpPr/>
  </sheetPr>
  <dimension ref="A1:D4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6" customWidth="1" min="2" max="2"/>
    <col width="48" customWidth="1" min="3" max="3"/>
    <col width="56" customWidth="1" min="4" max="4"/>
  </cols>
  <sheetData>
    <row r="1" ht="34" customHeight="1">
      <c r="A1" s="20" t="inlineStr">
        <is>
          <t>BE · REPOSITORY — LETTURA E SCRITTURA NEL DATABASE</t>
        </is>
      </c>
      <c r="B1" s="21" t="n"/>
      <c r="C1" s="21" t="n"/>
      <c r="D1" s="21" t="n"/>
    </row>
    <row r="2" ht="20" customHeight="1">
      <c r="A2" s="3" t="inlineStr">
        <is>
          <t>Un repository per tabella. Cartella GestoraWebApi/Repositories.</t>
        </is>
      </c>
      <c r="D2" s="22" t="inlineStr">
        <is>
          <t>← Torna alla Dashboard</t>
        </is>
      </c>
    </row>
    <row r="4" ht="24" customHeight="1">
      <c r="A4" s="23" t="inlineStr">
        <is>
          <t>Repository</t>
        </is>
      </c>
      <c r="B4" s="23" t="inlineStr">
        <is>
          <t>Metodo</t>
        </is>
      </c>
      <c r="C4" s="23" t="inlineStr">
        <is>
          <t>Cosa fa</t>
        </is>
      </c>
      <c r="D4" s="23" t="inlineStr">
        <is>
          <t>Note</t>
        </is>
      </c>
    </row>
    <row r="5">
      <c r="A5" s="24" t="inlineStr">
        <is>
          <t>IRepository&lt;T&gt; (base)</t>
        </is>
      </c>
      <c r="B5" s="24" t="inlineStr">
        <is>
          <t>GetByIdAsync</t>
        </is>
      </c>
      <c r="C5" s="16" t="inlineStr">
        <is>
          <t>Legge un elemento per Id</t>
        </is>
      </c>
      <c r="D5" s="16" t="inlineStr"/>
    </row>
    <row r="6">
      <c r="A6" s="24" t="inlineStr">
        <is>
          <t>IRepository&lt;T&gt; (base)</t>
        </is>
      </c>
      <c r="B6" s="24" t="inlineStr">
        <is>
          <t>AddAsync</t>
        </is>
      </c>
      <c r="C6" s="16" t="inlineStr">
        <is>
          <t>Aggiunge e salva</t>
        </is>
      </c>
      <c r="D6" s="16" t="inlineStr"/>
    </row>
    <row r="7">
      <c r="A7" s="24" t="inlineStr">
        <is>
          <t>IRepository&lt;T&gt; (base)</t>
        </is>
      </c>
      <c r="B7" s="24" t="inlineStr">
        <is>
          <t>UpdateAsync</t>
        </is>
      </c>
      <c r="C7" s="16" t="inlineStr">
        <is>
          <t>Aggiorna e salva</t>
        </is>
      </c>
      <c r="D7" s="16" t="inlineStr"/>
    </row>
    <row r="8">
      <c r="A8" s="24" t="inlineStr">
        <is>
          <t>IRepository&lt;T&gt; (base)</t>
        </is>
      </c>
      <c r="B8" s="24" t="inlineStr">
        <is>
          <t>DeleteAsync</t>
        </is>
      </c>
      <c r="C8" s="16" t="inlineStr">
        <is>
          <t>Elimina</t>
        </is>
      </c>
      <c r="D8" s="16" t="inlineStr"/>
    </row>
    <row r="9">
      <c r="A9" s="24" t="inlineStr">
        <is>
          <t>ZonaRepository</t>
        </is>
      </c>
      <c r="B9" s="24" t="inlineStr">
        <is>
          <t>GetByNameAsync</t>
        </is>
      </c>
      <c r="C9" s="16" t="inlineStr">
        <is>
          <t>Cerca una zona per nome</t>
        </is>
      </c>
      <c r="D9" s="16" t="inlineStr">
        <is>
          <t>Serve a evitare nomi doppi</t>
        </is>
      </c>
    </row>
    <row r="10">
      <c r="A10" s="24" t="inlineStr">
        <is>
          <t>ZonaRepository</t>
        </is>
      </c>
      <c r="B10" s="24" t="inlineStr">
        <is>
          <t>GetAllZoneAsync</t>
        </is>
      </c>
      <c r="C10" s="16" t="inlineStr">
        <is>
          <t>Tutte le zone</t>
        </is>
      </c>
      <c r="D10" s="16" t="inlineStr"/>
    </row>
    <row r="11">
      <c r="A11" s="24" t="inlineStr">
        <is>
          <t>ZonaRepository</t>
        </is>
      </c>
      <c r="B11" s="24" t="inlineStr">
        <is>
          <t>GetAllZoneAttiveAsync</t>
        </is>
      </c>
      <c r="C11" s="16" t="inlineStr">
        <is>
          <t>Solo le zone attive</t>
        </is>
      </c>
      <c r="D11" s="16" t="inlineStr"/>
    </row>
    <row r="12">
      <c r="A12" s="24" t="inlineStr">
        <is>
          <t>ZonaRepository</t>
        </is>
      </c>
      <c r="B12" s="24" t="inlineStr">
        <is>
          <t>IsZonaUsataAsync</t>
        </is>
      </c>
      <c r="C12" s="16" t="inlineStr">
        <is>
          <t>Dice se la zona ha tavoli</t>
        </is>
      </c>
      <c r="D12" s="16" t="inlineStr">
        <is>
          <t>Una zona con tavoli non si elimina</t>
        </is>
      </c>
    </row>
    <row r="13">
      <c r="A13" s="24" t="inlineStr">
        <is>
          <t>ZonaRepository</t>
        </is>
      </c>
      <c r="B13" s="24" t="inlineStr">
        <is>
          <t>UpdateStatoZonaAsync</t>
        </is>
      </c>
      <c r="C13" s="16" t="inlineStr">
        <is>
          <t>Accende o spegne la zona</t>
        </is>
      </c>
      <c r="D13" s="16" t="inlineStr"/>
    </row>
    <row r="14">
      <c r="A14" s="24" t="inlineStr">
        <is>
          <t>ZonaRepository</t>
        </is>
      </c>
      <c r="B14" s="24" t="inlineStr">
        <is>
          <t>(4 metodi base)</t>
        </is>
      </c>
      <c r="C14" s="16" t="inlineStr">
        <is>
          <t>Da IRepository&lt;T&gt;</t>
        </is>
      </c>
      <c r="D14" s="16" t="inlineStr"/>
    </row>
    <row r="15">
      <c r="A15" s="24" t="inlineStr">
        <is>
          <t>PostazioneRepository</t>
        </is>
      </c>
      <c r="B15" s="24" t="inlineStr">
        <is>
          <t>GetAllQueryable</t>
        </is>
      </c>
      <c r="C15" s="16" t="inlineStr">
        <is>
          <t>Base per le ricerche sui tavoli</t>
        </is>
      </c>
      <c r="D15" s="16" t="inlineStr"/>
    </row>
    <row r="16">
      <c r="A16" s="24" t="inlineStr">
        <is>
          <t>PostazioneRepository</t>
        </is>
      </c>
      <c r="B16" s="24" t="inlineStr">
        <is>
          <t>GetByIdAsync</t>
        </is>
      </c>
      <c r="C16" s="16" t="inlineStr">
        <is>
          <t>Legge un tavolo</t>
        </is>
      </c>
      <c r="D16" s="16" t="inlineStr"/>
    </row>
    <row r="17">
      <c r="A17" s="24" t="inlineStr">
        <is>
          <t>PostazioneRepository</t>
        </is>
      </c>
      <c r="B17" s="24" t="inlineStr">
        <is>
          <t>GetPostazioniAttiveAsync</t>
        </is>
      </c>
      <c r="C17" s="16" t="inlineStr">
        <is>
          <t>Tavoli attivi</t>
        </is>
      </c>
      <c r="D17" s="16" t="inlineStr"/>
    </row>
    <row r="18">
      <c r="A18" s="24" t="inlineStr">
        <is>
          <t>PostazioneRepository</t>
        </is>
      </c>
      <c r="B18" s="24" t="inlineStr">
        <is>
          <t>GetPostazioniPerZonaAsync</t>
        </is>
      </c>
      <c r="C18" s="16" t="inlineStr">
        <is>
          <t>Tavoli di una zona</t>
        </is>
      </c>
      <c r="D18" s="16" t="inlineStr"/>
    </row>
    <row r="19">
      <c r="A19" s="24" t="inlineStr">
        <is>
          <t>PostazioneRepository</t>
        </is>
      </c>
      <c r="B19" s="24" t="inlineStr">
        <is>
          <t>GetPostazioniDisponibiliAsync</t>
        </is>
      </c>
      <c r="C19" s="16" t="inlineStr">
        <is>
          <t>Tavoli liberi in una data e fascia</t>
        </is>
      </c>
      <c r="D19" s="16" t="inlineStr"/>
    </row>
    <row r="20">
      <c r="A20" s="24" t="inlineStr">
        <is>
          <t>PostazioneRepository</t>
        </is>
      </c>
      <c r="B20" s="24" t="inlineStr">
        <is>
          <t>HasPrenotazioniFutureAsync</t>
        </is>
      </c>
      <c r="C20" s="16" t="inlineStr">
        <is>
          <t>Dice se il tavolo ha prenotazioni future</t>
        </is>
      </c>
      <c r="D20" s="16" t="inlineStr"/>
    </row>
    <row r="21">
      <c r="A21" s="24" t="inlineStr">
        <is>
          <t>PostazioneRepository</t>
        </is>
      </c>
      <c r="B21" s="24" t="inlineStr">
        <is>
          <t>HasPrenotazioniViveAsync</t>
        </is>
      </c>
      <c r="C21" s="16" t="inlineStr">
        <is>
          <t>Dice se il tavolo ha prenotazioni non chiuse</t>
        </is>
      </c>
      <c r="D21" s="16" t="inlineStr">
        <is>
          <t>Blocca l'eliminazione</t>
        </is>
      </c>
    </row>
    <row r="22">
      <c r="A22" s="24" t="inlineStr">
        <is>
          <t>PostazioneRepository</t>
        </is>
      </c>
      <c r="B22" s="24" t="inlineStr">
        <is>
          <t>AddAsync</t>
        </is>
      </c>
      <c r="C22" s="16" t="inlineStr">
        <is>
          <t>Aggiunge un tavolo</t>
        </is>
      </c>
      <c r="D22" s="16" t="inlineStr"/>
    </row>
    <row r="23">
      <c r="A23" s="24" t="inlineStr">
        <is>
          <t>PostazioneRepository</t>
        </is>
      </c>
      <c r="B23" s="24" t="inlineStr">
        <is>
          <t>UpdateAsync</t>
        </is>
      </c>
      <c r="C23" s="16" t="inlineStr">
        <is>
          <t>Aggiorna un tavolo</t>
        </is>
      </c>
      <c r="D23" s="16" t="inlineStr"/>
    </row>
    <row r="24">
      <c r="A24" s="24" t="inlineStr">
        <is>
          <t>PostazioneRepository</t>
        </is>
      </c>
      <c r="B24" s="24" t="inlineStr">
        <is>
          <t>DeleteAsync</t>
        </is>
      </c>
      <c r="C24" s="16" t="inlineStr">
        <is>
          <t>Elimina un tavolo</t>
        </is>
      </c>
      <c r="D24" s="16" t="inlineStr"/>
    </row>
    <row r="25">
      <c r="A25" s="24" t="inlineStr">
        <is>
          <t>FasciaOrariaRepository</t>
        </is>
      </c>
      <c r="B25" s="24" t="inlineStr">
        <is>
          <t>GetAllQueryable</t>
        </is>
      </c>
      <c r="C25" s="16" t="inlineStr">
        <is>
          <t>Base per le ricerche sulle fasce</t>
        </is>
      </c>
      <c r="D25" s="16" t="inlineStr"/>
    </row>
    <row r="26">
      <c r="A26" s="24" t="inlineStr">
        <is>
          <t>FasciaOrariaRepository</t>
        </is>
      </c>
      <c r="B26" s="24" t="inlineStr">
        <is>
          <t>GetByIdAsync</t>
        </is>
      </c>
      <c r="C26" s="16" t="inlineStr">
        <is>
          <t>Legge una fascia</t>
        </is>
      </c>
      <c r="D26" s="16" t="inlineStr"/>
    </row>
    <row r="27">
      <c r="A27" s="24" t="inlineStr">
        <is>
          <t>FasciaOrariaRepository</t>
        </is>
      </c>
      <c r="B27" s="24" t="inlineStr">
        <is>
          <t>GetByIdConLockAsync</t>
        </is>
      </c>
      <c r="C27" s="16" t="inlineStr">
        <is>
          <t>Legge una fascia bloccandola</t>
        </is>
      </c>
      <c r="D27" s="16" t="inlineStr">
        <is>
          <t>FOR UPDATE: due prenotazioni insieme non sforano il tetto</t>
        </is>
      </c>
    </row>
    <row r="28">
      <c r="A28" s="24" t="inlineStr">
        <is>
          <t>FasciaOrariaRepository</t>
        </is>
      </c>
      <c r="B28" s="24" t="inlineStr">
        <is>
          <t>GetAllFasceAsync</t>
        </is>
      </c>
      <c r="C28" s="16" t="inlineStr">
        <is>
          <t>Tutte le fasce</t>
        </is>
      </c>
      <c r="D28" s="16" t="inlineStr"/>
    </row>
    <row r="29">
      <c r="A29" s="24" t="inlineStr">
        <is>
          <t>FasciaOrariaRepository</t>
        </is>
      </c>
      <c r="B29" s="24" t="inlineStr">
        <is>
          <t>GetFasceAttiveAsync</t>
        </is>
      </c>
      <c r="C29" s="16" t="inlineStr">
        <is>
          <t>Solo le fasce attive</t>
        </is>
      </c>
      <c r="D29" s="16" t="inlineStr"/>
    </row>
    <row r="30">
      <c r="A30" s="24" t="inlineStr">
        <is>
          <t>FasciaOrariaRepository</t>
        </is>
      </c>
      <c r="B30" s="24" t="inlineStr">
        <is>
          <t>GetFasceByGiornoAsync</t>
        </is>
      </c>
      <c r="C30" s="16" t="inlineStr">
        <is>
          <t>Fasce di un giorno della settimana</t>
        </is>
      </c>
      <c r="D30" s="16" t="inlineStr"/>
    </row>
    <row r="31">
      <c r="A31" s="24" t="inlineStr">
        <is>
          <t>FasciaOrariaRepository</t>
        </is>
      </c>
      <c r="B31" s="24" t="inlineStr">
        <is>
          <t>CountNumeroCopertiFasciaOrariaAsync</t>
        </is>
      </c>
      <c r="C31" s="16" t="inlineStr">
        <is>
          <t>Somma i coperti già prenotati in fascia e data</t>
        </is>
      </c>
      <c r="D31" s="16" t="inlineStr">
        <is>
          <t>Serve al controllo del tetto</t>
        </is>
      </c>
    </row>
    <row r="32">
      <c r="A32" s="24" t="inlineStr">
        <is>
          <t>FasciaOrariaRepository</t>
        </is>
      </c>
      <c r="B32" s="24" t="inlineStr">
        <is>
          <t>HasPrenotazioniFutureAsync</t>
        </is>
      </c>
      <c r="C32" s="16" t="inlineStr">
        <is>
          <t>Dice se la fascia ha prenotazioni future</t>
        </is>
      </c>
      <c r="D32" s="16" t="inlineStr">
        <is>
          <t>Se sì, giorno e orari non si cambiano</t>
        </is>
      </c>
    </row>
    <row r="33">
      <c r="A33" s="24" t="inlineStr">
        <is>
          <t>FasciaOrariaRepository</t>
        </is>
      </c>
      <c r="B33" s="24" t="inlineStr">
        <is>
          <t>IsFasciaUsataAsync</t>
        </is>
      </c>
      <c r="C33" s="16" t="inlineStr">
        <is>
          <t>Dice se la fascia è mai stata prenotata</t>
        </is>
      </c>
      <c r="D33" s="16" t="inlineStr">
        <is>
          <t>Se sì, non si elimina</t>
        </is>
      </c>
    </row>
    <row r="34">
      <c r="A34" s="24" t="inlineStr">
        <is>
          <t>FasciaOrariaRepository</t>
        </is>
      </c>
      <c r="B34" s="24" t="inlineStr">
        <is>
          <t>AddAsync</t>
        </is>
      </c>
      <c r="C34" s="16" t="inlineStr">
        <is>
          <t>Aggiunge una fascia</t>
        </is>
      </c>
      <c r="D34" s="16" t="inlineStr"/>
    </row>
    <row r="35">
      <c r="A35" s="24" t="inlineStr">
        <is>
          <t>FasciaOrariaRepository</t>
        </is>
      </c>
      <c r="B35" s="24" t="inlineStr">
        <is>
          <t>UpdateAsync</t>
        </is>
      </c>
      <c r="C35" s="16" t="inlineStr">
        <is>
          <t>Aggiorna una fascia</t>
        </is>
      </c>
      <c r="D35" s="16" t="inlineStr"/>
    </row>
    <row r="36">
      <c r="A36" s="24" t="inlineStr">
        <is>
          <t>FasciaOrariaRepository</t>
        </is>
      </c>
      <c r="B36" s="24" t="inlineStr">
        <is>
          <t>DeleteAsync</t>
        </is>
      </c>
      <c r="C36" s="16" t="inlineStr">
        <is>
          <t>Elimina una fascia</t>
        </is>
      </c>
      <c r="D36" s="16" t="inlineStr"/>
    </row>
    <row r="37">
      <c r="A37" s="24" t="inlineStr">
        <is>
          <t>PrenotazioniRepository</t>
        </is>
      </c>
      <c r="B37" s="24" t="inlineStr">
        <is>
          <t>GetAllQueryableAsync</t>
        </is>
      </c>
      <c r="C37" s="16" t="inlineStr">
        <is>
          <t>Base per elenco e filtri</t>
        </is>
      </c>
      <c r="D37" s="16" t="inlineStr"/>
    </row>
    <row r="38">
      <c r="A38" s="24" t="inlineStr">
        <is>
          <t>PrenotazioniRepository</t>
        </is>
      </c>
      <c r="B38" s="24" t="inlineStr">
        <is>
          <t>GetAllPrenotazioniAsync</t>
        </is>
      </c>
      <c r="C38" s="16" t="inlineStr">
        <is>
          <t>Tutte le prenotazioni</t>
        </is>
      </c>
      <c r="D38" s="16" t="inlineStr"/>
    </row>
    <row r="39">
      <c r="A39" s="24" t="inlineStr">
        <is>
          <t>PrenotazioniRepository</t>
        </is>
      </c>
      <c r="B39" s="24" t="inlineStr">
        <is>
          <t>GetPrenotazioniByDataAsync</t>
        </is>
      </c>
      <c r="C39" s="16" t="inlineStr">
        <is>
          <t>Prenotazioni di una data</t>
        </is>
      </c>
      <c r="D39" s="16" t="inlineStr"/>
    </row>
    <row r="40">
      <c r="A40" s="24" t="inlineStr">
        <is>
          <t>PrenotazioniRepository</t>
        </is>
      </c>
      <c r="B40" s="24" t="inlineStr">
        <is>
          <t>GetTrackedByIdAsync</t>
        </is>
      </c>
      <c r="C40" s="16" t="inlineStr">
        <is>
          <t>Legge una prenotazione per modificarla</t>
        </is>
      </c>
      <c r="D40" s="16" t="inlineStr"/>
    </row>
    <row r="41">
      <c r="A41" s="24" t="inlineStr">
        <is>
          <t>PrenotazioniRepository</t>
        </is>
      </c>
      <c r="B41" s="24" t="inlineStr">
        <is>
          <t>BloccaPerModificaAsync</t>
        </is>
      </c>
      <c r="C41" s="16" t="inlineStr">
        <is>
          <t>Blocca la riga prima di cambiarla</t>
        </is>
      </c>
      <c r="D41" s="16" t="inlineStr">
        <is>
          <t>FOR UPDATE (AUD-M4)</t>
        </is>
      </c>
    </row>
    <row r="42">
      <c r="A42" s="24" t="inlineStr">
        <is>
          <t>PrenotazioniRepository</t>
        </is>
      </c>
      <c r="B42" s="24" t="inlineStr">
        <is>
          <t>AggiornaStatoAsync</t>
        </is>
      </c>
      <c r="C42" s="16" t="inlineStr">
        <is>
          <t>Cambia lo stato a più prenotazioni insieme</t>
        </is>
      </c>
      <c r="D42" s="16" t="inlineStr">
        <is>
          <t>Usato dal job notturno</t>
        </is>
      </c>
    </row>
    <row r="43">
      <c r="A43" s="24" t="inlineStr">
        <is>
          <t>PrenotazioniRepository</t>
        </is>
      </c>
      <c r="B43" s="24" t="inlineStr">
        <is>
          <t>EliminaPerIdAsync</t>
        </is>
      </c>
      <c r="C43" s="16" t="inlineStr">
        <is>
          <t>Elimina più prenotazioni insieme</t>
        </is>
      </c>
      <c r="D43" s="16" t="inlineStr">
        <is>
          <t>Usato dalla pulizia notturna</t>
        </is>
      </c>
    </row>
    <row r="44">
      <c r="A44" s="24" t="inlineStr">
        <is>
          <t>PrenotazioniRepository</t>
        </is>
      </c>
      <c r="B44" s="24" t="inlineStr">
        <is>
          <t>GetFasceOrarieByDayAsync</t>
        </is>
      </c>
      <c r="C44" s="16" t="inlineStr">
        <is>
          <t>Fasce di un giorno</t>
        </is>
      </c>
      <c r="D44" s="16" t="inlineStr"/>
    </row>
    <row r="45">
      <c r="A45" s="24" t="inlineStr">
        <is>
          <t>PrenotazioniRepository</t>
        </is>
      </c>
      <c r="B45" s="24" t="inlineStr">
        <is>
          <t>(4 metodi base)</t>
        </is>
      </c>
      <c r="C45" s="16" t="inlineStr">
        <is>
          <t>Da IRepository&lt;T&gt;</t>
        </is>
      </c>
      <c r="D45" s="16" t="inlineStr"/>
    </row>
    <row r="46">
      <c r="A46" s="24" t="inlineStr">
        <is>
          <t>LogActivityRepository</t>
        </is>
      </c>
      <c r="B46" s="24" t="inlineStr">
        <is>
          <t>GetAllQueryable</t>
        </is>
      </c>
      <c r="C46" s="16" t="inlineStr">
        <is>
          <t>Base per cercare nel registro</t>
        </is>
      </c>
      <c r="D46" s="16" t="inlineStr"/>
    </row>
    <row r="47">
      <c r="A47" s="24" t="inlineStr">
        <is>
          <t>LogActivityRepository</t>
        </is>
      </c>
      <c r="B47" s="24" t="inlineStr">
        <is>
          <t>AddAsync</t>
        </is>
      </c>
      <c r="C47" s="16" t="inlineStr">
        <is>
          <t>Scrive una riga nel registro</t>
        </is>
      </c>
      <c r="D47" s="16" t="inlineStr"/>
    </row>
  </sheetData>
  <mergeCells count="1">
    <mergeCell ref="A1:D1"/>
  </mergeCells>
  <hyperlinks>
    <hyperlink ref="D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E5FAD"/>
    <outlinePr summaryBelow="1" summaryRight="1"/>
    <pageSetUpPr/>
  </sheetPr>
  <dimension ref="A1:F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52" customWidth="1" min="3" max="3"/>
    <col width="44" customWidth="1" min="4" max="4"/>
    <col width="24" customWidth="1" min="5" max="5"/>
    <col width="54" customWidth="1" min="6" max="6"/>
  </cols>
  <sheetData>
    <row r="1" ht="34" customHeight="1">
      <c r="A1" s="20" t="inlineStr">
        <is>
          <t>BE · SERVICES — LA LOGICA DEL GESTIONALE</t>
        </is>
      </c>
      <c r="B1" s="21" t="n"/>
      <c r="C1" s="21" t="n"/>
      <c r="D1" s="21" t="n"/>
      <c r="E1" s="21" t="n"/>
      <c r="F1" s="21" t="n"/>
    </row>
    <row r="2" ht="20" customHeight="1">
      <c r="A2" s="3" t="inlineStr">
        <is>
          <t>Le regole stanno qui, non nei controller. Cartella GestoraWebApi/Services (motori e supporto anche in Common e Infrastructure).</t>
        </is>
      </c>
      <c r="F2" s="22" t="inlineStr">
        <is>
          <t>← Torna alla Dashboard</t>
        </is>
      </c>
    </row>
    <row r="4" ht="24" customHeight="1">
      <c r="A4" s="23" t="inlineStr">
        <is>
          <t>Servizio</t>
        </is>
      </c>
      <c r="B4" s="23" t="inlineStr">
        <is>
          <t>Tipo</t>
        </is>
      </c>
      <c r="C4" s="23" t="inlineStr">
        <is>
          <t>Cosa fa</t>
        </is>
      </c>
      <c r="D4" s="23" t="inlineStr">
        <is>
          <t>Usa</t>
        </is>
      </c>
      <c r="E4" s="23" t="inlineStr">
        <is>
          <t>Cache</t>
        </is>
      </c>
      <c r="F4" s="23" t="inlineStr">
        <is>
          <t>Note</t>
        </is>
      </c>
    </row>
    <row r="5">
      <c r="A5" s="24" t="inlineStr">
        <is>
          <t>ZonaService</t>
        </is>
      </c>
      <c r="B5" s="24" t="inlineStr">
        <is>
          <t>Servizio</t>
        </is>
      </c>
      <c r="C5" s="16" t="inlineStr">
        <is>
          <t>Crea, modifica, accende/spegne ed elimina le zone</t>
        </is>
      </c>
      <c r="D5" s="16" t="inlineStr">
        <is>
          <t>ZonaRepository, LogActivity</t>
        </is>
      </c>
      <c r="E5" s="24" t="inlineStr">
        <is>
          <t>zone_all, zone_attive</t>
        </is>
      </c>
      <c r="F5" s="16" t="inlineStr">
        <is>
          <t>Non elimina una zona con tavoli</t>
        </is>
      </c>
    </row>
    <row r="6">
      <c r="A6" s="24" t="inlineStr">
        <is>
          <t>PostazioneService</t>
        </is>
      </c>
      <c r="B6" s="24" t="inlineStr">
        <is>
          <t>Servizio</t>
        </is>
      </c>
      <c r="C6" s="16" t="inlineStr">
        <is>
          <t>Gestisce i tavoli e il riepilogo della sala</t>
        </is>
      </c>
      <c r="D6" s="16" t="inlineStr">
        <is>
          <t>Postazione, Zona e Fascia repository</t>
        </is>
      </c>
      <c r="E6" s="24" t="inlineStr">
        <is>
          <t>postazioni_attive</t>
        </is>
      </c>
      <c r="F6" s="16" t="inlineStr">
        <is>
          <t>Non elimina un tavolo con prenotazioni aperte</t>
        </is>
      </c>
    </row>
    <row r="7">
      <c r="A7" s="24" t="inlineStr">
        <is>
          <t>FasciaOrariaService</t>
        </is>
      </c>
      <c r="B7" s="24" t="inlineStr">
        <is>
          <t>Servizio</t>
        </is>
      </c>
      <c r="C7" s="16" t="inlineStr">
        <is>
          <t>Gestisce le fasce orarie e i loro tetti</t>
        </is>
      </c>
      <c r="D7" s="16" t="inlineStr">
        <is>
          <t>FasciaOrariaRepository, LogActivity</t>
        </is>
      </c>
      <c r="E7" s="24" t="inlineStr">
        <is>
          <t>fasce_attive, fasce per giorno</t>
        </is>
      </c>
      <c r="F7" s="16" t="inlineStr">
        <is>
          <t>Giorno e orari bloccati se ci sono prenotazioni future</t>
        </is>
      </c>
    </row>
    <row r="8">
      <c r="A8" s="24" t="inlineStr">
        <is>
          <t>PrenotazioniService</t>
        </is>
      </c>
      <c r="B8" s="24" t="inlineStr">
        <is>
          <t>Servizio</t>
        </is>
      </c>
      <c r="C8" s="16" t="inlineStr">
        <is>
          <t>Crea, modifica e cambia stato alle prenotazioni</t>
        </is>
      </c>
      <c r="D8" s="16" t="inlineStr">
        <is>
          <t>Prenotazioni e Fasce repository, Assegnazione, IClock</t>
        </is>
      </c>
      <c r="E8" s="24" t="inlineStr">
        <is>
          <t>—</t>
        </is>
      </c>
      <c r="F8" s="16" t="inlineStr">
        <is>
          <t>Il servizio più importante: tetto coperti, regole, job</t>
        </is>
      </c>
    </row>
    <row r="9">
      <c r="A9" s="24" t="inlineStr">
        <is>
          <t>PostazioneAssignmentService</t>
        </is>
      </c>
      <c r="B9" s="24" t="inlineStr">
        <is>
          <t>Servizio</t>
        </is>
      </c>
      <c r="C9" s="16" t="inlineStr">
        <is>
          <t>Sceglie i tavoli per una prenotazione</t>
        </is>
      </c>
      <c r="D9" s="16" t="inlineStr">
        <is>
          <t>PostazioneRepository, AssegnazioneTavoli</t>
        </is>
      </c>
      <c r="E9" s="24" t="inlineStr">
        <is>
          <t>—</t>
        </is>
      </c>
      <c r="F9" s="16" t="inlineStr"/>
    </row>
    <row r="10">
      <c r="A10" s="24" t="inlineStr">
        <is>
          <t>DisponibilitaService</t>
        </is>
      </c>
      <c r="B10" s="24" t="inlineStr">
        <is>
          <t>Servizio</t>
        </is>
      </c>
      <c r="C10" s="16" t="inlineStr">
        <is>
          <t>Dice quali fasce hanno posto in una data</t>
        </is>
      </c>
      <c r="D10" s="16" t="inlineStr">
        <is>
          <t>Fasce e Prenotazioni repository, AssegnazioneTavoli</t>
        </is>
      </c>
      <c r="E10" s="24" t="inlineStr">
        <is>
          <t>—</t>
        </is>
      </c>
      <c r="F10" s="16" t="inlineStr">
        <is>
          <t>Usato anche dalla pagina pubblica</t>
        </is>
      </c>
    </row>
    <row r="11">
      <c r="A11" s="24" t="inlineStr">
        <is>
          <t>DashboardService</t>
        </is>
      </c>
      <c r="B11" s="24" t="inlineStr">
        <is>
          <t>Servizio</t>
        </is>
      </c>
      <c r="C11" s="16" t="inlineStr">
        <is>
          <t>Calcola i numeri della dashboard</t>
        </is>
      </c>
      <c r="D11" s="16" t="inlineStr">
        <is>
          <t>GestoraContext (sola lettura), IClock</t>
        </is>
      </c>
      <c r="E11" s="24" t="inlineStr">
        <is>
          <t>—</t>
        </is>
      </c>
      <c r="F11" s="16" t="inlineStr"/>
    </row>
    <row r="12">
      <c r="A12" s="24" t="inlineStr">
        <is>
          <t>LogActivityService</t>
        </is>
      </c>
      <c r="B12" s="24" t="inlineStr">
        <is>
          <t>Servizio</t>
        </is>
      </c>
      <c r="C12" s="16" t="inlineStr">
        <is>
          <t>Scrive e legge il registro delle azioni</t>
        </is>
      </c>
      <c r="D12" s="16" t="inlineStr">
        <is>
          <t>LogActivityRepository</t>
        </is>
      </c>
      <c r="E12" s="24" t="inlineStr">
        <is>
          <t>—</t>
        </is>
      </c>
      <c r="F12" s="16" t="inlineStr"/>
    </row>
    <row r="13">
      <c r="A13" s="24" t="inlineStr">
        <is>
          <t>UserManager (Identity)</t>
        </is>
      </c>
      <c r="B13" s="24" t="inlineStr">
        <is>
          <t>Framework</t>
        </is>
      </c>
      <c r="C13" s="16" t="inlineStr">
        <is>
          <t>Gestisce utenti, ruoli e password</t>
        </is>
      </c>
      <c r="D13" s="16" t="inlineStr">
        <is>
          <t>Usato direttamente dai controller</t>
        </is>
      </c>
      <c r="E13" s="24" t="inlineStr">
        <is>
          <t>—</t>
        </is>
      </c>
      <c r="F13" s="16" t="inlineStr">
        <is>
          <t>Non c'è un servizio utenti nostro</t>
        </is>
      </c>
    </row>
    <row r="14">
      <c r="A14" s="24" t="inlineStr">
        <is>
          <t>AssegnazioneTavoli</t>
        </is>
      </c>
      <c r="B14" s="24" t="inlineStr">
        <is>
          <t>Motore</t>
        </is>
      </c>
      <c r="C14" s="16" t="inlineStr">
        <is>
          <t>Trova i tavoli che sprecano meno posti</t>
        </is>
      </c>
      <c r="D14" s="16" t="inlineStr">
        <is>
          <t>—</t>
        </is>
      </c>
      <c r="E14" s="24" t="inlineStr">
        <is>
          <t>—</t>
        </is>
      </c>
      <c r="F14" s="16" t="inlineStr">
        <is>
          <t>Max 4 tavoli della stessa zona; bonus testate solo per tavoli da 2</t>
        </is>
      </c>
    </row>
    <row r="15">
      <c r="A15" s="24" t="inlineStr">
        <is>
          <t>JwtTokenGenerator</t>
        </is>
      </c>
      <c r="B15" s="24" t="inlineStr">
        <is>
          <t>Supporto</t>
        </is>
      </c>
      <c r="C15" s="16" t="inlineStr">
        <is>
          <t>Crea il token dopo il login</t>
        </is>
      </c>
      <c r="D15" s="16" t="inlineStr">
        <is>
          <t>JwtSettings</t>
        </is>
      </c>
      <c r="E15" s="24" t="inlineStr">
        <is>
          <t>—</t>
        </is>
      </c>
      <c r="F15" s="16" t="inlineStr">
        <is>
          <t>Nel token: Id, email, ruoli, security stamp</t>
        </is>
      </c>
    </row>
    <row r="16">
      <c r="A16" s="24" t="inlineStr">
        <is>
          <t>SystemClock (IClock)</t>
        </is>
      </c>
      <c r="B16" s="24" t="inlineStr">
        <is>
          <t>Supporto</t>
        </is>
      </c>
      <c r="C16" s="16" t="inlineStr">
        <is>
          <t>Dà data e ora di Roma, uguali ovunque</t>
        </is>
      </c>
      <c r="D16" s="16" t="inlineStr">
        <is>
          <t>—</t>
        </is>
      </c>
      <c r="E16" s="24" t="inlineStr">
        <is>
          <t>—</t>
        </is>
      </c>
      <c r="F16" s="16" t="inlineStr">
        <is>
          <t>Nei test si usa TestClock</t>
        </is>
      </c>
    </row>
    <row r="17">
      <c r="A17" s="24" t="inlineStr">
        <is>
          <t>EsecutoreTransazione</t>
        </is>
      </c>
      <c r="B17" s="24" t="inlineStr">
        <is>
          <t>Supporto</t>
        </is>
      </c>
      <c r="C17" s="16" t="inlineStr">
        <is>
          <t>Esegue un'operazione in transazione, riprovando se il database cade</t>
        </is>
      </c>
      <c r="D17" s="16" t="inlineStr">
        <is>
          <t>GestoraContext</t>
        </is>
      </c>
      <c r="E17" s="24" t="inlineStr">
        <is>
          <t>—</t>
        </is>
      </c>
      <c r="F17" s="16" t="inlineStr"/>
    </row>
    <row r="18">
      <c r="A18" s="24" t="inlineStr">
        <is>
          <t>CacheKeys</t>
        </is>
      </c>
      <c r="B18" s="24" t="inlineStr">
        <is>
          <t>Supporto</t>
        </is>
      </c>
      <c r="C18" s="16" t="inlineStr">
        <is>
          <t>Nomi delle chiavi della cache</t>
        </is>
      </c>
      <c r="D18" s="16" t="inlineStr">
        <is>
          <t>—</t>
        </is>
      </c>
      <c r="E18" s="24" t="inlineStr">
        <is>
          <t>30 minuti</t>
        </is>
      </c>
      <c r="F18" s="16" t="inlineStr"/>
    </row>
    <row r="19">
      <c r="A19" s="24" t="inlineStr">
        <is>
          <t>IndirizzoClient</t>
        </is>
      </c>
      <c r="B19" s="24" t="inlineStr">
        <is>
          <t>Supporto</t>
        </is>
      </c>
      <c r="C19" s="16" t="inlineStr">
        <is>
          <t>Trova l'IP vero di chi chiama</t>
        </is>
      </c>
      <c r="D19" s="16" t="inlineStr">
        <is>
          <t>—</t>
        </is>
      </c>
      <c r="E19" s="24" t="inlineStr">
        <is>
          <t>—</t>
        </is>
      </c>
      <c r="F19" s="16" t="inlineStr">
        <is>
          <t>Legge X-Forwarded-For</t>
        </is>
      </c>
    </row>
    <row r="20">
      <c r="A20" s="24" t="inlineStr">
        <is>
          <t>Profili AutoMapper (4)</t>
        </is>
      </c>
      <c r="B20" s="24" t="inlineStr">
        <is>
          <t>Supporto</t>
        </is>
      </c>
      <c r="C20" s="16" t="inlineStr">
        <is>
          <t>Copiano i dati da entità a DTO</t>
        </is>
      </c>
      <c r="D20" s="16" t="inlineStr">
        <is>
          <t>—</t>
        </is>
      </c>
      <c r="E20" s="24" t="inlineStr">
        <is>
          <t>—</t>
        </is>
      </c>
      <c r="F20" s="16" t="inlineStr">
        <is>
          <t>Zona, Postazione, FasciaOraria, Prenotazione</t>
        </is>
      </c>
    </row>
  </sheetData>
  <mergeCells count="1">
    <mergeCell ref="A1:F1"/>
  </mergeCells>
  <conditionalFormatting sqref="B5:B1000">
    <cfRule type="expression" priority="1" dxfId="2">
      <formula>$B5="Servizio"</formula>
    </cfRule>
    <cfRule type="expression" priority="2" dxfId="3">
      <formula>$B5="Motore"</formula>
    </cfRule>
    <cfRule type="expression" priority="3" dxfId="1">
      <formula>$B5="Supporto"</formula>
    </cfRule>
    <cfRule type="expression" priority="4" dxfId="4">
      <formula>$B5="Framework"</formula>
    </cfRule>
  </conditionalFormatting>
  <hyperlinks>
    <hyperlink ref="F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E5FAD"/>
    <outlinePr summaryBelow="1" summaryRight="1"/>
    <pageSetUpPr/>
  </sheetPr>
  <dimension ref="A1:G5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46" customWidth="1" min="3" max="3"/>
    <col width="22" customWidth="1" min="4" max="4"/>
    <col width="32" customWidth="1" min="5" max="5"/>
    <col width="46" customWidth="1" min="6" max="6"/>
    <col width="18" customWidth="1" min="7" max="7"/>
  </cols>
  <sheetData>
    <row r="1" ht="34" customHeight="1">
      <c r="A1" s="20" t="inlineStr">
        <is>
          <t>BE · CONTROLLERS — GLI ENDPOINT DELL'API</t>
        </is>
      </c>
      <c r="B1" s="21" t="n"/>
      <c r="C1" s="21" t="n"/>
      <c r="D1" s="21" t="n"/>
      <c r="E1" s="21" t="n"/>
      <c r="F1" s="21" t="n"/>
      <c r="G1" s="21" t="n"/>
    </row>
    <row r="2" ht="20" customHeight="1">
      <c r="A2" s="3" t="inlineStr">
        <is>
          <t>Indirizzo base /api/{controller}. Pubblico = senza login. Cartella GestoraWebApi/Controllers.</t>
        </is>
      </c>
      <c r="G2" s="22" t="inlineStr">
        <is>
          <t>← Torna alla Dashboard</t>
        </is>
      </c>
    </row>
    <row r="3">
      <c r="A3" s="25" t="inlineStr">
        <is>
          <t>Endpoint:</t>
        </is>
      </c>
      <c r="B3" s="26">
        <f>COUNTA(A5:A1000)</f>
        <v/>
      </c>
    </row>
    <row r="4" ht="24" customHeight="1">
      <c r="A4" s="23" t="inlineStr">
        <is>
          <t>Controller</t>
        </is>
      </c>
      <c r="B4" s="23" t="inlineStr">
        <is>
          <t>Verbo</t>
        </is>
      </c>
      <c r="C4" s="23" t="inlineStr">
        <is>
          <t>Route</t>
        </is>
      </c>
      <c r="D4" s="23" t="inlineStr">
        <is>
          <t>Chi può</t>
        </is>
      </c>
      <c r="E4" s="23" t="inlineStr">
        <is>
          <t>Metodo</t>
        </is>
      </c>
      <c r="F4" s="23" t="inlineStr">
        <is>
          <t>Cosa fa</t>
        </is>
      </c>
      <c r="G4" s="23" t="inlineStr">
        <is>
          <t>Limite</t>
        </is>
      </c>
    </row>
    <row r="5">
      <c r="A5" s="24" t="inlineStr">
        <is>
          <t>AuthenticationUser</t>
        </is>
      </c>
      <c r="B5" s="24" t="inlineStr">
        <is>
          <t>POST</t>
        </is>
      </c>
      <c r="C5" s="24" t="inlineStr">
        <is>
          <t>/api/AuthenticationUser/register</t>
        </is>
      </c>
      <c r="D5" s="24" t="inlineStr">
        <is>
          <t>Pubblico</t>
        </is>
      </c>
      <c r="E5" s="24" t="inlineStr">
        <is>
          <t>Register</t>
        </is>
      </c>
      <c r="F5" s="16" t="inlineStr">
        <is>
          <t>Registra un nuovo Cliente</t>
        </is>
      </c>
      <c r="G5" s="24" t="inlineStr"/>
    </row>
    <row r="6">
      <c r="A6" s="24" t="inlineStr">
        <is>
          <t>AuthenticationUser</t>
        </is>
      </c>
      <c r="B6" s="24" t="inlineStr">
        <is>
          <t>POST</t>
        </is>
      </c>
      <c r="C6" s="24" t="inlineStr">
        <is>
          <t>/api/AuthenticationUser/login</t>
        </is>
      </c>
      <c r="D6" s="24" t="inlineStr">
        <is>
          <t>Pubblico</t>
        </is>
      </c>
      <c r="E6" s="24" t="inlineStr">
        <is>
          <t>Login</t>
        </is>
      </c>
      <c r="F6" s="16" t="inlineStr">
        <is>
          <t>Login: restituisce il token</t>
        </is>
      </c>
      <c r="G6" s="24" t="inlineStr">
        <is>
          <t>5 al minuto per IP</t>
        </is>
      </c>
    </row>
    <row r="7">
      <c r="A7" s="24" t="inlineStr">
        <is>
          <t>AuthenticationUser</t>
        </is>
      </c>
      <c r="B7" s="24" t="inlineStr">
        <is>
          <t>GET</t>
        </is>
      </c>
      <c r="C7" s="24" t="inlineStr">
        <is>
          <t>/api/AuthenticationUser/get-users</t>
        </is>
      </c>
      <c r="D7" s="24" t="inlineStr">
        <is>
          <t>Admin</t>
        </is>
      </c>
      <c r="E7" s="24" t="inlineStr">
        <is>
          <t>GetUsers</t>
        </is>
      </c>
      <c r="F7" s="16" t="inlineStr">
        <is>
          <t>Elenco utenti con ruoli</t>
        </is>
      </c>
      <c r="G7" s="24" t="inlineStr"/>
    </row>
    <row r="8">
      <c r="A8" s="24" t="inlineStr">
        <is>
          <t>AuthenticationUser</t>
        </is>
      </c>
      <c r="B8" s="24" t="inlineStr">
        <is>
          <t>GET</t>
        </is>
      </c>
      <c r="C8" s="24" t="inlineStr">
        <is>
          <t>/api/AuthenticationUser/get-user/{id}</t>
        </is>
      </c>
      <c r="D8" s="24" t="inlineStr">
        <is>
          <t>Admin</t>
        </is>
      </c>
      <c r="E8" s="24" t="inlineStr">
        <is>
          <t>GetUserById</t>
        </is>
      </c>
      <c r="F8" s="16" t="inlineStr">
        <is>
          <t>Legge un utente</t>
        </is>
      </c>
      <c r="G8" s="24" t="inlineStr"/>
    </row>
    <row r="9">
      <c r="A9" s="24" t="inlineStr">
        <is>
          <t>AuthenticationUser</t>
        </is>
      </c>
      <c r="B9" s="24" t="inlineStr">
        <is>
          <t>PUT</t>
        </is>
      </c>
      <c r="C9" s="24" t="inlineStr">
        <is>
          <t>/api/AuthenticationUser/update-user/{id}</t>
        </is>
      </c>
      <c r="D9" s="24" t="inlineStr">
        <is>
          <t>Admin</t>
        </is>
      </c>
      <c r="E9" s="24" t="inlineStr">
        <is>
          <t>UpdateUser</t>
        </is>
      </c>
      <c r="F9" s="16" t="inlineStr">
        <is>
          <t>Modifica nome o email</t>
        </is>
      </c>
      <c r="G9" s="24" t="inlineStr"/>
    </row>
    <row r="10">
      <c r="A10" s="24" t="inlineStr">
        <is>
          <t>AuthenticationUser</t>
        </is>
      </c>
      <c r="B10" s="24" t="inlineStr">
        <is>
          <t>DELETE</t>
        </is>
      </c>
      <c r="C10" s="24" t="inlineStr">
        <is>
          <t>/api/AuthenticationUser/delete-user/{id}</t>
        </is>
      </c>
      <c r="D10" s="24" t="inlineStr">
        <is>
          <t>Admin</t>
        </is>
      </c>
      <c r="E10" s="24" t="inlineStr">
        <is>
          <t>DeleteUser</t>
        </is>
      </c>
      <c r="F10" s="16" t="inlineStr">
        <is>
          <t>Elimina un utente senza prenotazioni</t>
        </is>
      </c>
      <c r="G10" s="24" t="inlineStr"/>
    </row>
    <row r="11">
      <c r="A11" s="24" t="inlineStr">
        <is>
          <t>AuthenticationUser</t>
        </is>
      </c>
      <c r="B11" s="24" t="inlineStr">
        <is>
          <t>POST</t>
        </is>
      </c>
      <c r="C11" s="24" t="inlineStr">
        <is>
          <t>/api/AuthenticationUser/assign-role</t>
        </is>
      </c>
      <c r="D11" s="24" t="inlineStr">
        <is>
          <t>Admin</t>
        </is>
      </c>
      <c r="E11" s="24" t="inlineStr">
        <is>
          <t>AssignRole</t>
        </is>
      </c>
      <c r="F11" s="16" t="inlineStr">
        <is>
          <t>Dà un ruolo</t>
        </is>
      </c>
      <c r="G11" s="24" t="inlineStr"/>
    </row>
    <row r="12">
      <c r="A12" s="24" t="inlineStr">
        <is>
          <t>AuthenticationUser</t>
        </is>
      </c>
      <c r="B12" s="24" t="inlineStr">
        <is>
          <t>DELETE</t>
        </is>
      </c>
      <c r="C12" s="24" t="inlineStr">
        <is>
          <t>/api/AuthenticationUser/remove-role</t>
        </is>
      </c>
      <c r="D12" s="24" t="inlineStr">
        <is>
          <t>Admin</t>
        </is>
      </c>
      <c r="E12" s="24" t="inlineStr">
        <is>
          <t>RemoveRole</t>
        </is>
      </c>
      <c r="F12" s="16" t="inlineStr">
        <is>
          <t>Toglie un ruolo (l'Admin non lo toglie a sé)</t>
        </is>
      </c>
      <c r="G12" s="24" t="inlineStr"/>
    </row>
    <row r="13">
      <c r="A13" s="24" t="inlineStr">
        <is>
          <t>AuthenticationUser</t>
        </is>
      </c>
      <c r="B13" s="24" t="inlineStr">
        <is>
          <t>POST</t>
        </is>
      </c>
      <c r="C13" s="24" t="inlineStr">
        <is>
          <t>/api/AuthenticationUser/reset-password/{id}</t>
        </is>
      </c>
      <c r="D13" s="24" t="inlineStr">
        <is>
          <t>Admin</t>
        </is>
      </c>
      <c r="E13" s="24" t="inlineStr">
        <is>
          <t>ResetPassword</t>
        </is>
      </c>
      <c r="F13" s="16" t="inlineStr">
        <is>
          <t>L'Admin imposta una nuova password</t>
        </is>
      </c>
      <c r="G13" s="24" t="inlineStr"/>
    </row>
    <row r="14">
      <c r="A14" s="24" t="inlineStr">
        <is>
          <t>Setup</t>
        </is>
      </c>
      <c r="B14" s="24" t="inlineStr">
        <is>
          <t>GET</t>
        </is>
      </c>
      <c r="C14" s="24" t="inlineStr">
        <is>
          <t>/api/Setup/stato</t>
        </is>
      </c>
      <c r="D14" s="24" t="inlineStr">
        <is>
          <t>Pubblico</t>
        </is>
      </c>
      <c r="E14" s="24" t="inlineStr">
        <is>
          <t>Stato</t>
        </is>
      </c>
      <c r="F14" s="16" t="inlineStr">
        <is>
          <t>Dice se esiste già un Admin</t>
        </is>
      </c>
      <c r="G14" s="24" t="inlineStr"/>
    </row>
    <row r="15">
      <c r="A15" s="24" t="inlineStr">
        <is>
          <t>Setup</t>
        </is>
      </c>
      <c r="B15" s="24" t="inlineStr">
        <is>
          <t>POST</t>
        </is>
      </c>
      <c r="C15" s="24" t="inlineStr">
        <is>
          <t>/api/Setup/admin</t>
        </is>
      </c>
      <c r="D15" s="24" t="inlineStr">
        <is>
          <t>Pubblico</t>
        </is>
      </c>
      <c r="E15" s="24" t="inlineStr">
        <is>
          <t>CreaPrimoAdmin</t>
        </is>
      </c>
      <c r="F15" s="16" t="inlineStr">
        <is>
          <t>Crea il primo Admin, poi si chiude</t>
        </is>
      </c>
      <c r="G15" s="24" t="inlineStr">
        <is>
          <t>5 al minuto per IP</t>
        </is>
      </c>
    </row>
    <row r="16">
      <c r="A16" s="24" t="inlineStr">
        <is>
          <t>Zona</t>
        </is>
      </c>
      <c r="B16" s="24" t="inlineStr">
        <is>
          <t>GET</t>
        </is>
      </c>
      <c r="C16" s="24" t="inlineStr">
        <is>
          <t>/api/Zona/get-all-zone</t>
        </is>
      </c>
      <c r="D16" s="24" t="inlineStr">
        <is>
          <t>Admin, Staff</t>
        </is>
      </c>
      <c r="E16" s="24" t="inlineStr">
        <is>
          <t>GetAllZoneAsync</t>
        </is>
      </c>
      <c r="F16" s="16" t="inlineStr">
        <is>
          <t>Tutte le zone</t>
        </is>
      </c>
      <c r="G16" s="24" t="inlineStr"/>
    </row>
    <row r="17">
      <c r="A17" s="24" t="inlineStr">
        <is>
          <t>Zona</t>
        </is>
      </c>
      <c r="B17" s="24" t="inlineStr">
        <is>
          <t>GET</t>
        </is>
      </c>
      <c r="C17" s="24" t="inlineStr">
        <is>
          <t>/api/Zona/get-zone-attive</t>
        </is>
      </c>
      <c r="D17" s="24" t="inlineStr">
        <is>
          <t>Admin, Staff, Cliente</t>
        </is>
      </c>
      <c r="E17" s="24" t="inlineStr">
        <is>
          <t>GetAllZoneAttiveAsync</t>
        </is>
      </c>
      <c r="F17" s="16" t="inlineStr">
        <is>
          <t>Solo le zone attive</t>
        </is>
      </c>
      <c r="G17" s="24" t="inlineStr"/>
    </row>
    <row r="18">
      <c r="A18" s="24" t="inlineStr">
        <is>
          <t>Zona</t>
        </is>
      </c>
      <c r="B18" s="24" t="inlineStr">
        <is>
          <t>GET</t>
        </is>
      </c>
      <c r="C18" s="24" t="inlineStr">
        <is>
          <t>/api/Zona/get-zona/{id}</t>
        </is>
      </c>
      <c r="D18" s="24" t="inlineStr">
        <is>
          <t>Admin, Staff</t>
        </is>
      </c>
      <c r="E18" s="24" t="inlineStr">
        <is>
          <t>GetZonaByIdAsync</t>
        </is>
      </c>
      <c r="F18" s="16" t="inlineStr">
        <is>
          <t>Legge una zona</t>
        </is>
      </c>
      <c r="G18" s="24" t="inlineStr"/>
    </row>
    <row r="19">
      <c r="A19" s="24" t="inlineStr">
        <is>
          <t>Zona</t>
        </is>
      </c>
      <c r="B19" s="24" t="inlineStr">
        <is>
          <t>GET</t>
        </is>
      </c>
      <c r="C19" s="24" t="inlineStr">
        <is>
          <t>/api/Zona/is-zona-usata</t>
        </is>
      </c>
      <c r="D19" s="24" t="inlineStr">
        <is>
          <t>Admin, Staff</t>
        </is>
      </c>
      <c r="E19" s="24" t="inlineStr">
        <is>
          <t>VerificaZonaUsataAsync</t>
        </is>
      </c>
      <c r="F19" s="16" t="inlineStr">
        <is>
          <t>Dice se la zona ha tavoli</t>
        </is>
      </c>
      <c r="G19" s="24" t="inlineStr"/>
    </row>
    <row r="20">
      <c r="A20" s="24" t="inlineStr">
        <is>
          <t>Zona</t>
        </is>
      </c>
      <c r="B20" s="24" t="inlineStr">
        <is>
          <t>POST</t>
        </is>
      </c>
      <c r="C20" s="24" t="inlineStr">
        <is>
          <t>/api/Zona/crea-zona</t>
        </is>
      </c>
      <c r="D20" s="24" t="inlineStr">
        <is>
          <t>Admin</t>
        </is>
      </c>
      <c r="E20" s="24" t="inlineStr">
        <is>
          <t>CreateZonaAsync</t>
        </is>
      </c>
      <c r="F20" s="16" t="inlineStr">
        <is>
          <t>Crea una zona</t>
        </is>
      </c>
      <c r="G20" s="24" t="inlineStr"/>
    </row>
    <row r="21">
      <c r="A21" s="24" t="inlineStr">
        <is>
          <t>Zona</t>
        </is>
      </c>
      <c r="B21" s="24" t="inlineStr">
        <is>
          <t>PUT</t>
        </is>
      </c>
      <c r="C21" s="24" t="inlineStr">
        <is>
          <t>/api/Zona/update-zona</t>
        </is>
      </c>
      <c r="D21" s="24" t="inlineStr">
        <is>
          <t>Admin</t>
        </is>
      </c>
      <c r="E21" s="24" t="inlineStr">
        <is>
          <t>UpdateZonaAsync</t>
        </is>
      </c>
      <c r="F21" s="16" t="inlineStr">
        <is>
          <t>Modifica una zona</t>
        </is>
      </c>
      <c r="G21" s="24" t="inlineStr"/>
    </row>
    <row r="22">
      <c r="A22" s="24" t="inlineStr">
        <is>
          <t>Zona</t>
        </is>
      </c>
      <c r="B22" s="24" t="inlineStr">
        <is>
          <t>PATCH</t>
        </is>
      </c>
      <c r="C22" s="24" t="inlineStr">
        <is>
          <t>/api/Zona/update-stato/{id}</t>
        </is>
      </c>
      <c r="D22" s="24" t="inlineStr">
        <is>
          <t>Admin</t>
        </is>
      </c>
      <c r="E22" s="24" t="inlineStr">
        <is>
          <t>UpdateStatoZonaAsync</t>
        </is>
      </c>
      <c r="F22" s="16" t="inlineStr">
        <is>
          <t>Accende o spegne una zona</t>
        </is>
      </c>
      <c r="G22" s="24" t="inlineStr"/>
    </row>
    <row r="23">
      <c r="A23" s="24" t="inlineStr">
        <is>
          <t>Zona</t>
        </is>
      </c>
      <c r="B23" s="24" t="inlineStr">
        <is>
          <t>DELETE</t>
        </is>
      </c>
      <c r="C23" s="24" t="inlineStr">
        <is>
          <t>/api/Zona/delete-zona/{id}</t>
        </is>
      </c>
      <c r="D23" s="24" t="inlineStr">
        <is>
          <t>Admin</t>
        </is>
      </c>
      <c r="E23" s="24" t="inlineStr">
        <is>
          <t>DeleteZonaAsync</t>
        </is>
      </c>
      <c r="F23" s="16" t="inlineStr">
        <is>
          <t>Elimina una zona senza tavoli</t>
        </is>
      </c>
      <c r="G23" s="24" t="inlineStr"/>
    </row>
    <row r="24">
      <c r="A24" s="24" t="inlineStr">
        <is>
          <t>Postazione</t>
        </is>
      </c>
      <c r="B24" s="24" t="inlineStr">
        <is>
          <t>GET</t>
        </is>
      </c>
      <c r="C24" s="24" t="inlineStr">
        <is>
          <t>/api/Postazione/get-postazioni-attive</t>
        </is>
      </c>
      <c r="D24" s="24" t="inlineStr">
        <is>
          <t>Admin, Staff, Cliente</t>
        </is>
      </c>
      <c r="E24" s="24" t="inlineStr">
        <is>
          <t>GetAllPostazioniAttiveAsync</t>
        </is>
      </c>
      <c r="F24" s="16" t="inlineStr">
        <is>
          <t>Tavoli attivi</t>
        </is>
      </c>
      <c r="G24" s="24" t="inlineStr"/>
    </row>
    <row r="25">
      <c r="A25" s="24" t="inlineStr">
        <is>
          <t>Postazione</t>
        </is>
      </c>
      <c r="B25" s="24" t="inlineStr">
        <is>
          <t>GET</t>
        </is>
      </c>
      <c r="C25" s="24" t="inlineStr">
        <is>
          <t>/api/Postazione/get-postazioni-per-zona</t>
        </is>
      </c>
      <c r="D25" s="24" t="inlineStr">
        <is>
          <t>Admin, Staff, Cliente</t>
        </is>
      </c>
      <c r="E25" s="24" t="inlineStr">
        <is>
          <t>GetPostazioniPerZonaAsync</t>
        </is>
      </c>
      <c r="F25" s="16" t="inlineStr">
        <is>
          <t>Tavoli di una zona</t>
        </is>
      </c>
      <c r="G25" s="24" t="inlineStr"/>
    </row>
    <row r="26">
      <c r="A26" s="24" t="inlineStr">
        <is>
          <t>Postazione</t>
        </is>
      </c>
      <c r="B26" s="24" t="inlineStr">
        <is>
          <t>GET</t>
        </is>
      </c>
      <c r="C26" s="24" t="inlineStr">
        <is>
          <t>/api/Postazione/get-postazioni-disponibili</t>
        </is>
      </c>
      <c r="D26" s="24" t="inlineStr">
        <is>
          <t>Admin, Staff, Cliente</t>
        </is>
      </c>
      <c r="E26" s="24" t="inlineStr">
        <is>
          <t>GetPostazioniDisponibiliAsync</t>
        </is>
      </c>
      <c r="F26" s="16" t="inlineStr">
        <is>
          <t>Tavoli liberi in data e fascia</t>
        </is>
      </c>
      <c r="G26" s="24" t="inlineStr"/>
    </row>
    <row r="27">
      <c r="A27" s="24" t="inlineStr">
        <is>
          <t>Postazione</t>
        </is>
      </c>
      <c r="B27" s="24" t="inlineStr">
        <is>
          <t>GET</t>
        </is>
      </c>
      <c r="C27" s="24" t="inlineStr">
        <is>
          <t>/api/Postazione/get-postazione-id</t>
        </is>
      </c>
      <c r="D27" s="24" t="inlineStr">
        <is>
          <t>Admin, Staff</t>
        </is>
      </c>
      <c r="E27" s="24" t="inlineStr">
        <is>
          <t>GetPostazioneByIdAsync</t>
        </is>
      </c>
      <c r="F27" s="16" t="inlineStr">
        <is>
          <t>Legge un tavolo</t>
        </is>
      </c>
      <c r="G27" s="24" t="inlineStr"/>
    </row>
    <row r="28">
      <c r="A28" s="24" t="inlineStr">
        <is>
          <t>Postazione</t>
        </is>
      </c>
      <c r="B28" s="24" t="inlineStr">
        <is>
          <t>GET</t>
        </is>
      </c>
      <c r="C28" s="24" t="inlineStr">
        <is>
          <t>/api/Postazione/riepilogo-sala</t>
        </is>
      </c>
      <c r="D28" s="24" t="inlineStr">
        <is>
          <t>Admin, Staff</t>
        </is>
      </c>
      <c r="E28" s="24" t="inlineStr">
        <is>
          <t>GetRiepilogoSalaAsync</t>
        </is>
      </c>
      <c r="F28" s="16" t="inlineStr">
        <is>
          <t>Posti totali e confronto con i tetti</t>
        </is>
      </c>
      <c r="G28" s="24" t="inlineStr"/>
    </row>
    <row r="29">
      <c r="A29" s="24" t="inlineStr">
        <is>
          <t>Postazione</t>
        </is>
      </c>
      <c r="B29" s="24" t="inlineStr">
        <is>
          <t>POST</t>
        </is>
      </c>
      <c r="C29" s="24" t="inlineStr">
        <is>
          <t>/api/Postazione/crea-postazione</t>
        </is>
      </c>
      <c r="D29" s="24" t="inlineStr">
        <is>
          <t>Admin</t>
        </is>
      </c>
      <c r="E29" s="24" t="inlineStr">
        <is>
          <t>CreatePostazioniAsync</t>
        </is>
      </c>
      <c r="F29" s="16" t="inlineStr">
        <is>
          <t>Crea un tavolo</t>
        </is>
      </c>
      <c r="G29" s="24" t="inlineStr"/>
    </row>
    <row r="30">
      <c r="A30" s="24" t="inlineStr">
        <is>
          <t>Postazione</t>
        </is>
      </c>
      <c r="B30" s="24" t="inlineStr">
        <is>
          <t>PUT</t>
        </is>
      </c>
      <c r="C30" s="24" t="inlineStr">
        <is>
          <t>/api/Postazione/update-postazione</t>
        </is>
      </c>
      <c r="D30" s="24" t="inlineStr">
        <is>
          <t>Admin</t>
        </is>
      </c>
      <c r="E30" s="24" t="inlineStr">
        <is>
          <t>UpdatePostazioneAsync</t>
        </is>
      </c>
      <c r="F30" s="16" t="inlineStr">
        <is>
          <t>Modifica un tavolo</t>
        </is>
      </c>
      <c r="G30" s="24" t="inlineStr"/>
    </row>
    <row r="31">
      <c r="A31" s="24" t="inlineStr">
        <is>
          <t>Postazione</t>
        </is>
      </c>
      <c r="B31" s="24" t="inlineStr">
        <is>
          <t>PUT</t>
        </is>
      </c>
      <c r="C31" s="24" t="inlineStr">
        <is>
          <t>/api/Postazione/associa-postazione-a-zona</t>
        </is>
      </c>
      <c r="D31" s="24" t="inlineStr">
        <is>
          <t>Admin</t>
        </is>
      </c>
      <c r="E31" s="24" t="inlineStr">
        <is>
          <t>AssociaPostazioneAZonaAsync</t>
        </is>
      </c>
      <c r="F31" s="16" t="inlineStr">
        <is>
          <t>Sposta un tavolo di zona</t>
        </is>
      </c>
      <c r="G31" s="24" t="inlineStr"/>
    </row>
    <row r="32">
      <c r="A32" s="24" t="inlineStr">
        <is>
          <t>Postazione</t>
        </is>
      </c>
      <c r="B32" s="24" t="inlineStr">
        <is>
          <t>DELETE</t>
        </is>
      </c>
      <c r="C32" s="24" t="inlineStr">
        <is>
          <t>/api/Postazione/delete-postazione</t>
        </is>
      </c>
      <c r="D32" s="24" t="inlineStr">
        <is>
          <t>Admin</t>
        </is>
      </c>
      <c r="E32" s="24" t="inlineStr">
        <is>
          <t>DeletePostazioneAsync</t>
        </is>
      </c>
      <c r="F32" s="16" t="inlineStr">
        <is>
          <t>Elimina un tavolo</t>
        </is>
      </c>
      <c r="G32" s="24" t="inlineStr"/>
    </row>
    <row r="33">
      <c r="A33" s="24" t="inlineStr">
        <is>
          <t>FasceOrarie</t>
        </is>
      </c>
      <c r="B33" s="24" t="inlineStr">
        <is>
          <t>GET</t>
        </is>
      </c>
      <c r="C33" s="24" t="inlineStr">
        <is>
          <t>/api/FasceOrarie/get-all-fasce</t>
        </is>
      </c>
      <c r="D33" s="24" t="inlineStr">
        <is>
          <t>Admin, Staff</t>
        </is>
      </c>
      <c r="E33" s="24" t="inlineStr">
        <is>
          <t>GetAllFasce</t>
        </is>
      </c>
      <c r="F33" s="16" t="inlineStr">
        <is>
          <t>Tutte le fasce</t>
        </is>
      </c>
      <c r="G33" s="24" t="inlineStr"/>
    </row>
    <row r="34">
      <c r="A34" s="24" t="inlineStr">
        <is>
          <t>FasceOrarie</t>
        </is>
      </c>
      <c r="B34" s="24" t="inlineStr">
        <is>
          <t>GET</t>
        </is>
      </c>
      <c r="C34" s="24" t="inlineStr">
        <is>
          <t>/api/FasceOrarie/fasce-attive</t>
        </is>
      </c>
      <c r="D34" s="24" t="inlineStr">
        <is>
          <t>Admin, Staff, Cliente</t>
        </is>
      </c>
      <c r="E34" s="24" t="inlineStr">
        <is>
          <t>GetFasceAttive</t>
        </is>
      </c>
      <c r="F34" s="16" t="inlineStr">
        <is>
          <t>Solo le fasce attive</t>
        </is>
      </c>
      <c r="G34" s="24" t="inlineStr"/>
    </row>
    <row r="35">
      <c r="A35" s="24" t="inlineStr">
        <is>
          <t>FasceOrarie</t>
        </is>
      </c>
      <c r="B35" s="24" t="inlineStr">
        <is>
          <t>GET</t>
        </is>
      </c>
      <c r="C35" s="24" t="inlineStr">
        <is>
          <t>/api/FasceOrarie/fasce-per-giorno</t>
        </is>
      </c>
      <c r="D35" s="24" t="inlineStr">
        <is>
          <t>Admin, Staff, Cliente</t>
        </is>
      </c>
      <c r="E35" s="24" t="inlineStr">
        <is>
          <t>GetFasceByGiorno</t>
        </is>
      </c>
      <c r="F35" s="16" t="inlineStr">
        <is>
          <t>Fasce di un giorno</t>
        </is>
      </c>
      <c r="G35" s="24" t="inlineStr"/>
    </row>
    <row r="36">
      <c r="A36" s="24" t="inlineStr">
        <is>
          <t>FasceOrarie</t>
        </is>
      </c>
      <c r="B36" s="24" t="inlineStr">
        <is>
          <t>GET</t>
        </is>
      </c>
      <c r="C36" s="24" t="inlineStr">
        <is>
          <t>/api/FasceOrarie/fasce-disponibili</t>
        </is>
      </c>
      <c r="D36" s="24" t="inlineStr">
        <is>
          <t>Admin, Staff, Cliente</t>
        </is>
      </c>
      <c r="E36" s="24" t="inlineStr">
        <is>
          <t>VerificaDisponibilitaPerFascia</t>
        </is>
      </c>
      <c r="F36" s="16" t="inlineStr">
        <is>
          <t>Posti liberi in una fascia</t>
        </is>
      </c>
      <c r="G36" s="24" t="inlineStr"/>
    </row>
    <row r="37">
      <c r="A37" s="24" t="inlineStr">
        <is>
          <t>FasceOrarie</t>
        </is>
      </c>
      <c r="B37" s="24" t="inlineStr">
        <is>
          <t>GET</t>
        </is>
      </c>
      <c r="C37" s="24" t="inlineStr">
        <is>
          <t>/api/FasceOrarie/get-fascia-id/{id}</t>
        </is>
      </c>
      <c r="D37" s="24" t="inlineStr">
        <is>
          <t>Admin, Staff</t>
        </is>
      </c>
      <c r="E37" s="24" t="inlineStr">
        <is>
          <t>GetFasciaOrariaByIdAsync</t>
        </is>
      </c>
      <c r="F37" s="16" t="inlineStr">
        <is>
          <t>Legge una fascia</t>
        </is>
      </c>
      <c r="G37" s="24" t="inlineStr"/>
    </row>
    <row r="38">
      <c r="A38" s="24" t="inlineStr">
        <is>
          <t>FasceOrarie</t>
        </is>
      </c>
      <c r="B38" s="24" t="inlineStr">
        <is>
          <t>POST</t>
        </is>
      </c>
      <c r="C38" s="24" t="inlineStr">
        <is>
          <t>/api/FasceOrarie/crea-fascia</t>
        </is>
      </c>
      <c r="D38" s="24" t="inlineStr">
        <is>
          <t>Admin</t>
        </is>
      </c>
      <c r="E38" s="24" t="inlineStr">
        <is>
          <t>CreateFasciaOrariaAsync</t>
        </is>
      </c>
      <c r="F38" s="16" t="inlineStr">
        <is>
          <t>Crea una fascia</t>
        </is>
      </c>
      <c r="G38" s="24" t="inlineStr"/>
    </row>
    <row r="39">
      <c r="A39" s="24" t="inlineStr">
        <is>
          <t>FasceOrarie</t>
        </is>
      </c>
      <c r="B39" s="24" t="inlineStr">
        <is>
          <t>PUT</t>
        </is>
      </c>
      <c r="C39" s="24" t="inlineStr">
        <is>
          <t>/api/FasceOrarie/update-fascia</t>
        </is>
      </c>
      <c r="D39" s="24" t="inlineStr">
        <is>
          <t>Admin</t>
        </is>
      </c>
      <c r="E39" s="24" t="inlineStr">
        <is>
          <t>UpdateFasciaOrariaAsync</t>
        </is>
      </c>
      <c r="F39" s="16" t="inlineStr">
        <is>
          <t>Modifica una fascia</t>
        </is>
      </c>
      <c r="G39" s="24" t="inlineStr"/>
    </row>
    <row r="40">
      <c r="A40" s="24" t="inlineStr">
        <is>
          <t>FasceOrarie</t>
        </is>
      </c>
      <c r="B40" s="24" t="inlineStr">
        <is>
          <t>PATCH</t>
        </is>
      </c>
      <c r="C40" s="24" t="inlineStr">
        <is>
          <t>/api/FasceOrarie/update-stato/{id}</t>
        </is>
      </c>
      <c r="D40" s="24" t="inlineStr">
        <is>
          <t>Admin</t>
        </is>
      </c>
      <c r="E40" s="24" t="inlineStr">
        <is>
          <t>UpdateStatoAsync</t>
        </is>
      </c>
      <c r="F40" s="16" t="inlineStr">
        <is>
          <t>Accende o spegne una fascia</t>
        </is>
      </c>
      <c r="G40" s="24" t="inlineStr"/>
    </row>
    <row r="41">
      <c r="A41" s="24" t="inlineStr">
        <is>
          <t>FasceOrarie</t>
        </is>
      </c>
      <c r="B41" s="24" t="inlineStr">
        <is>
          <t>DELETE</t>
        </is>
      </c>
      <c r="C41" s="24" t="inlineStr">
        <is>
          <t>/api/FasceOrarie/delete-fascia</t>
        </is>
      </c>
      <c r="D41" s="24" t="inlineStr">
        <is>
          <t>Admin</t>
        </is>
      </c>
      <c r="E41" s="24" t="inlineStr">
        <is>
          <t>DeleteFasciaAsync</t>
        </is>
      </c>
      <c r="F41" s="16" t="inlineStr">
        <is>
          <t>Elimina una fascia mai usata</t>
        </is>
      </c>
      <c r="G41" s="24" t="inlineStr"/>
    </row>
    <row r="42">
      <c r="A42" s="24" t="inlineStr">
        <is>
          <t>Prenotazione</t>
        </is>
      </c>
      <c r="B42" s="24" t="inlineStr">
        <is>
          <t>POST</t>
        </is>
      </c>
      <c r="C42" s="24" t="inlineStr">
        <is>
          <t>/api/Prenotazione/check-disponibilita</t>
        </is>
      </c>
      <c r="D42" s="24" t="inlineStr">
        <is>
          <t>Pubblico</t>
        </is>
      </c>
      <c r="E42" s="24" t="inlineStr">
        <is>
          <t>CheckDisponibilita</t>
        </is>
      </c>
      <c r="F42" s="16" t="inlineStr">
        <is>
          <t>C'è posto? Usato anche dalla pagina pubblica</t>
        </is>
      </c>
      <c r="G42" s="24" t="inlineStr"/>
    </row>
    <row r="43">
      <c r="A43" s="24" t="inlineStr">
        <is>
          <t>Prenotazione</t>
        </is>
      </c>
      <c r="B43" s="24" t="inlineStr">
        <is>
          <t>POST</t>
        </is>
      </c>
      <c r="C43" s="24" t="inlineStr">
        <is>
          <t>/api/Prenotazione/crea-prenotazione</t>
        </is>
      </c>
      <c r="D43" s="24" t="inlineStr">
        <is>
          <t>Admin, Staff, Cliente</t>
        </is>
      </c>
      <c r="E43" s="24" t="inlineStr">
        <is>
          <t>CreatePrenotazioniAsync</t>
        </is>
      </c>
      <c r="F43" s="16" t="inlineStr">
        <is>
          <t>Crea una prenotazione e assegna i tavoli</t>
        </is>
      </c>
      <c r="G43" s="24" t="inlineStr"/>
    </row>
    <row r="44">
      <c r="A44" s="24" t="inlineStr">
        <is>
          <t>Prenotazione</t>
        </is>
      </c>
      <c r="B44" s="24" t="inlineStr">
        <is>
          <t>GET</t>
        </is>
      </c>
      <c r="C44" s="24" t="inlineStr">
        <is>
          <t>/api/Prenotazione/get-prenotazione</t>
        </is>
      </c>
      <c r="D44" s="24" t="inlineStr">
        <is>
          <t>Admin, Staff, Cliente</t>
        </is>
      </c>
      <c r="E44" s="24" t="inlineStr">
        <is>
          <t>GetById</t>
        </is>
      </c>
      <c r="F44" s="16" t="inlineStr">
        <is>
          <t>Legge una prenotazione (il Cliente solo le sue)</t>
        </is>
      </c>
      <c r="G44" s="24" t="inlineStr"/>
    </row>
    <row r="45">
      <c r="A45" s="24" t="inlineStr">
        <is>
          <t>Prenotazione</t>
        </is>
      </c>
      <c r="B45" s="24" t="inlineStr">
        <is>
          <t>GET</t>
        </is>
      </c>
      <c r="C45" s="24" t="inlineStr">
        <is>
          <t>/api/Prenotazione/get-all-prenotazioni</t>
        </is>
      </c>
      <c r="D45" s="24" t="inlineStr">
        <is>
          <t>Admin, Staff</t>
        </is>
      </c>
      <c r="E45" s="24" t="inlineStr">
        <is>
          <t>GetAllPrenotazioni</t>
        </is>
      </c>
      <c r="F45" s="16" t="inlineStr">
        <is>
          <t>Elenco a pagine con filtri</t>
        </is>
      </c>
      <c r="G45" s="24" t="inlineStr"/>
    </row>
    <row r="46">
      <c r="A46" s="24" t="inlineStr">
        <is>
          <t>Prenotazione</t>
        </is>
      </c>
      <c r="B46" s="24" t="inlineStr">
        <is>
          <t>GET</t>
        </is>
      </c>
      <c r="C46" s="24" t="inlineStr">
        <is>
          <t>/api/Prenotazione/get-prenotazioni-by-data</t>
        </is>
      </c>
      <c r="D46" s="24" t="inlineStr">
        <is>
          <t>Admin, Staff</t>
        </is>
      </c>
      <c r="E46" s="24" t="inlineStr">
        <is>
          <t>GetPrenotazioniByData</t>
        </is>
      </c>
      <c r="F46" s="16" t="inlineStr">
        <is>
          <t>Prenotazioni di una data</t>
        </is>
      </c>
      <c r="G46" s="24" t="inlineStr"/>
    </row>
    <row r="47">
      <c r="A47" s="24" t="inlineStr">
        <is>
          <t>Prenotazione</t>
        </is>
      </c>
      <c r="B47" s="24" t="inlineStr">
        <is>
          <t>GET</t>
        </is>
      </c>
      <c r="C47" s="24" t="inlineStr">
        <is>
          <t>/api/Prenotazione/get-mie-prenotazioni</t>
        </is>
      </c>
      <c r="D47" s="24" t="inlineStr">
        <is>
          <t>Cliente</t>
        </is>
      </c>
      <c r="E47" s="24" t="inlineStr">
        <is>
          <t>GetMiePrenotazioni</t>
        </is>
      </c>
      <c r="F47" s="16" t="inlineStr">
        <is>
          <t>Le prenotazioni del Cliente collegato</t>
        </is>
      </c>
      <c r="G47" s="24" t="inlineStr"/>
    </row>
    <row r="48">
      <c r="A48" s="24" t="inlineStr">
        <is>
          <t>Prenotazione</t>
        </is>
      </c>
      <c r="B48" s="24" t="inlineStr">
        <is>
          <t>PUT</t>
        </is>
      </c>
      <c r="C48" s="24" t="inlineStr">
        <is>
          <t>/api/Prenotazione/update-prenotazione</t>
        </is>
      </c>
      <c r="D48" s="24" t="inlineStr">
        <is>
          <t>Admin, Staff, Cliente</t>
        </is>
      </c>
      <c r="E48" s="24" t="inlineStr">
        <is>
          <t>UpdatePrenotazione</t>
        </is>
      </c>
      <c r="F48" s="16" t="inlineStr">
        <is>
          <t>Modifica una prenotazione</t>
        </is>
      </c>
      <c r="G48" s="24" t="inlineStr"/>
    </row>
    <row r="49">
      <c r="A49" s="24" t="inlineStr">
        <is>
          <t>Prenotazione</t>
        </is>
      </c>
      <c r="B49" s="24" t="inlineStr">
        <is>
          <t>PATCH</t>
        </is>
      </c>
      <c r="C49" s="24" t="inlineStr">
        <is>
          <t>/api/Prenotazione/conferma-prenotazione</t>
        </is>
      </c>
      <c r="D49" s="24" t="inlineStr">
        <is>
          <t>Admin, Staff</t>
        </is>
      </c>
      <c r="E49" s="24" t="inlineStr">
        <is>
          <t>ConfermaPrenotazione</t>
        </is>
      </c>
      <c r="F49" s="16" t="inlineStr">
        <is>
          <t>Il cliente è arrivato (solo nel giorno)</t>
        </is>
      </c>
      <c r="G49" s="24" t="inlineStr"/>
    </row>
    <row r="50">
      <c r="A50" s="24" t="inlineStr">
        <is>
          <t>Prenotazione</t>
        </is>
      </c>
      <c r="B50" s="24" t="inlineStr">
        <is>
          <t>PATCH</t>
        </is>
      </c>
      <c r="C50" s="24" t="inlineStr">
        <is>
          <t>/api/Prenotazione/completa-prenotazione</t>
        </is>
      </c>
      <c r="D50" s="24" t="inlineStr">
        <is>
          <t>Admin, Staff</t>
        </is>
      </c>
      <c r="E50" s="24" t="inlineStr">
        <is>
          <t>CompletePrenotazione</t>
        </is>
      </c>
      <c r="F50" s="16" t="inlineStr">
        <is>
          <t>Chiude una prenotazione in corso</t>
        </is>
      </c>
      <c r="G50" s="24" t="inlineStr"/>
    </row>
    <row r="51">
      <c r="A51" s="24" t="inlineStr">
        <is>
          <t>Prenotazione</t>
        </is>
      </c>
      <c r="B51" s="24" t="inlineStr">
        <is>
          <t>PATCH</t>
        </is>
      </c>
      <c r="C51" s="24" t="inlineStr">
        <is>
          <t>/api/Prenotazione/annulla-prenotazione</t>
        </is>
      </c>
      <c r="D51" s="24" t="inlineStr">
        <is>
          <t>Admin, Staff, Cliente</t>
        </is>
      </c>
      <c r="E51" s="24" t="inlineStr">
        <is>
          <t>AnnullaPrenotazione</t>
        </is>
      </c>
      <c r="F51" s="16" t="inlineStr">
        <is>
          <t>Annulla, se la fascia non è finita</t>
        </is>
      </c>
      <c r="G51" s="24" t="inlineStr"/>
    </row>
    <row r="52">
      <c r="A52" s="24" t="inlineStr">
        <is>
          <t>Prenotazione</t>
        </is>
      </c>
      <c r="B52" s="24" t="inlineStr">
        <is>
          <t>DELETE</t>
        </is>
      </c>
      <c r="C52" s="24" t="inlineStr">
        <is>
          <t>/api/Prenotazione/delete-prenotazione</t>
        </is>
      </c>
      <c r="D52" s="24" t="inlineStr">
        <is>
          <t>Admin</t>
        </is>
      </c>
      <c r="E52" s="24" t="inlineStr">
        <is>
          <t>DeletePrenotazione</t>
        </is>
      </c>
      <c r="F52" s="16" t="inlineStr">
        <is>
          <t>Elimina (solo se annullata)</t>
        </is>
      </c>
      <c r="G52" s="24" t="inlineStr"/>
    </row>
    <row r="53">
      <c r="A53" s="24" t="inlineStr">
        <is>
          <t>Dashboard</t>
        </is>
      </c>
      <c r="B53" s="24" t="inlineStr">
        <is>
          <t>GET</t>
        </is>
      </c>
      <c r="C53" s="24" t="inlineStr">
        <is>
          <t>/api/Dashboard/giornaliera</t>
        </is>
      </c>
      <c r="D53" s="24" t="inlineStr">
        <is>
          <t>Admin, Staff</t>
        </is>
      </c>
      <c r="E53" s="24" t="inlineStr">
        <is>
          <t>GetGiornaliera</t>
        </is>
      </c>
      <c r="F53" s="16" t="inlineStr">
        <is>
          <t>Numeri di un giorno</t>
        </is>
      </c>
      <c r="G53" s="24" t="inlineStr"/>
    </row>
    <row r="54">
      <c r="A54" s="24" t="inlineStr">
        <is>
          <t>Dashboard</t>
        </is>
      </c>
      <c r="B54" s="24" t="inlineStr">
        <is>
          <t>GET</t>
        </is>
      </c>
      <c r="C54" s="24" t="inlineStr">
        <is>
          <t>/api/Dashboard/settimanale</t>
        </is>
      </c>
      <c r="D54" s="24" t="inlineStr">
        <is>
          <t>Admin, Staff</t>
        </is>
      </c>
      <c r="E54" s="24" t="inlineStr">
        <is>
          <t>GetSettimanale</t>
        </is>
      </c>
      <c r="F54" s="16" t="inlineStr">
        <is>
          <t>Numeri di 7 giorni</t>
        </is>
      </c>
      <c r="G54" s="24" t="inlineStr"/>
    </row>
    <row r="55">
      <c r="A55" s="24" t="inlineStr">
        <is>
          <t>LogActivity</t>
        </is>
      </c>
      <c r="B55" s="24" t="inlineStr">
        <is>
          <t>GET</t>
        </is>
      </c>
      <c r="C55" s="24" t="inlineStr">
        <is>
          <t>/api/LogActivity/get-log</t>
        </is>
      </c>
      <c r="D55" s="24" t="inlineStr">
        <is>
          <t>Admin</t>
        </is>
      </c>
      <c r="E55" s="24" t="inlineStr">
        <is>
          <t>GetLog</t>
        </is>
      </c>
      <c r="F55" s="16" t="inlineStr">
        <is>
          <t>Registro delle azioni con filtri</t>
        </is>
      </c>
      <c r="G55" s="24" t="inlineStr"/>
    </row>
    <row r="56">
      <c r="A56" s="24" t="inlineStr">
        <is>
          <t>LogActivity</t>
        </is>
      </c>
      <c r="B56" s="24" t="inlineStr">
        <is>
          <t>GET</t>
        </is>
      </c>
      <c r="C56" s="24" t="inlineStr">
        <is>
          <t>/api/LogActivity/diagnostica-inoltro</t>
        </is>
      </c>
      <c r="D56" s="24" t="inlineStr">
        <is>
          <t>Admin</t>
        </is>
      </c>
      <c r="E56" s="24" t="inlineStr">
        <is>
          <t>DiagnosticaInoltro</t>
        </is>
      </c>
      <c r="F56" s="16" t="inlineStr">
        <is>
          <t>Mostra come arriva l'IP di chi chiama</t>
        </is>
      </c>
      <c r="G56" s="24" t="inlineStr"/>
    </row>
    <row r="57">
      <c r="A57" s="24" t="inlineStr">
        <is>
          <t>Jobs</t>
        </is>
      </c>
      <c r="B57" s="24" t="inlineStr">
        <is>
          <t>POST</t>
        </is>
      </c>
      <c r="C57" s="24" t="inlineStr">
        <is>
          <t>/api/Jobs/trigger/{jobName}</t>
        </is>
      </c>
      <c r="D57" s="24" t="inlineStr">
        <is>
          <t>Admin</t>
        </is>
      </c>
      <c r="E57" s="24" t="inlineStr">
        <is>
          <t>TriggerJobAsync</t>
        </is>
      </c>
      <c r="F57" s="16" t="inlineStr">
        <is>
          <t>Fa partire subito un job notturno</t>
        </is>
      </c>
      <c r="G57" s="24" t="inlineStr"/>
    </row>
    <row r="58">
      <c r="A58" s="24" t="inlineStr">
        <is>
          <t>(Program.cs)</t>
        </is>
      </c>
      <c r="B58" s="24" t="inlineStr">
        <is>
          <t>GET</t>
        </is>
      </c>
      <c r="C58" s="24" t="inlineStr">
        <is>
          <t>/health</t>
        </is>
      </c>
      <c r="D58" s="24" t="inlineStr">
        <is>
          <t>Pubblico</t>
        </is>
      </c>
      <c r="E58" s="24" t="inlineStr">
        <is>
          <t>—</t>
        </is>
      </c>
      <c r="F58" s="16" t="inlineStr">
        <is>
          <t>Controlla che API e database rispondano</t>
        </is>
      </c>
      <c r="G58" s="24" t="inlineStr"/>
    </row>
  </sheetData>
  <mergeCells count="1">
    <mergeCell ref="A1:G1"/>
  </mergeCells>
  <conditionalFormatting sqref="B5:B1000">
    <cfRule type="expression" priority="1" dxfId="0">
      <formula>$B5="GET"</formula>
    </cfRule>
    <cfRule type="expression" priority="2" dxfId="2">
      <formula>$B5="POST"</formula>
    </cfRule>
    <cfRule type="expression" priority="3" dxfId="4">
      <formula>$B5="PUT"</formula>
    </cfRule>
    <cfRule type="expression" priority="4" dxfId="3">
      <formula>$B5="PATCH"</formula>
    </cfRule>
    <cfRule type="expression" priority="5" dxfId="5">
      <formula>$B5="DELETE"</formula>
    </cfRule>
  </conditionalFormatting>
  <conditionalFormatting sqref="D5:D1000">
    <cfRule type="expression" priority="6" dxfId="4">
      <formula>$D5="Pubblico"</formula>
    </cfRule>
    <cfRule type="expression" priority="7" dxfId="5">
      <formula>$D5="Admin"</formula>
    </cfRule>
  </conditionalFormatting>
  <hyperlinks>
    <hyperlink ref="G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5FAD"/>
    <outlinePr summaryBelow="1" summaryRight="1"/>
    <pageSetUpPr/>
  </sheetPr>
  <dimension ref="A1:E6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56" customWidth="1" min="4" max="4"/>
    <col width="36" customWidth="1" min="5" max="5"/>
  </cols>
  <sheetData>
    <row r="1" ht="34" customHeight="1">
      <c r="A1" s="20" t="inlineStr">
        <is>
          <t>BE · METODI — COSA FA OGNI METODO</t>
        </is>
      </c>
      <c r="B1" s="21" t="n"/>
      <c r="C1" s="21" t="n"/>
      <c r="D1" s="21" t="n"/>
      <c r="E1" s="21" t="n"/>
    </row>
    <row r="2" ht="20" customHeight="1">
      <c r="A2" s="3" t="inlineStr">
        <is>
          <t>Metodi dei servizi e dei componenti di supporto. Interno = usato solo dentro la sua classe. I metodi dei repository sono nel foglio BE · Repository.</t>
        </is>
      </c>
      <c r="E2" s="22" t="inlineStr">
        <is>
          <t>← Torna alla Dashboard</t>
        </is>
      </c>
    </row>
    <row r="4" ht="24" customHeight="1">
      <c r="A4" s="23" t="inlineStr">
        <is>
          <t>Classe</t>
        </is>
      </c>
      <c r="B4" s="23" t="inlineStr">
        <is>
          <t>Metodo</t>
        </is>
      </c>
      <c r="C4" s="23" t="inlineStr">
        <is>
          <t>Visibilità</t>
        </is>
      </c>
      <c r="D4" s="23" t="inlineStr">
        <is>
          <t>Cosa fa</t>
        </is>
      </c>
      <c r="E4" s="23" t="inlineStr">
        <is>
          <t>Chiamato da</t>
        </is>
      </c>
    </row>
    <row r="5">
      <c r="A5" s="24" t="inlineStr">
        <is>
          <t>PrenotazioniService</t>
        </is>
      </c>
      <c r="B5" s="24" t="inlineStr">
        <is>
          <t>AddAsync</t>
        </is>
      </c>
      <c r="C5" s="24" t="inlineStr">
        <is>
          <t>Pubblico</t>
        </is>
      </c>
      <c r="D5" s="16" t="inlineStr">
        <is>
          <t>Crea la prenotazione e assegna i tavoli</t>
        </is>
      </c>
      <c r="E5" s="16" t="inlineStr">
        <is>
          <t>PrenotazioneController</t>
        </is>
      </c>
    </row>
    <row r="6">
      <c r="A6" s="24" t="inlineStr">
        <is>
          <t>PrenotazioniService</t>
        </is>
      </c>
      <c r="B6" s="24" t="inlineStr">
        <is>
          <t>UpdateAsync</t>
        </is>
      </c>
      <c r="C6" s="24" t="inlineStr">
        <is>
          <t>Pubblico</t>
        </is>
      </c>
      <c r="D6" s="16" t="inlineStr">
        <is>
          <t>Modifica e riassegna i tavoli</t>
        </is>
      </c>
      <c r="E6" s="16" t="inlineStr">
        <is>
          <t>PrenotazioneController</t>
        </is>
      </c>
    </row>
    <row r="7">
      <c r="A7" s="24" t="inlineStr">
        <is>
          <t>PrenotazioniService</t>
        </is>
      </c>
      <c r="B7" s="24" t="inlineStr">
        <is>
          <t>DeleteAsync</t>
        </is>
      </c>
      <c r="C7" s="24" t="inlineStr">
        <is>
          <t>Pubblico</t>
        </is>
      </c>
      <c r="D7" s="16" t="inlineStr">
        <is>
          <t>Elimina, solo se annullata</t>
        </is>
      </c>
      <c r="E7" s="16" t="inlineStr">
        <is>
          <t>PrenotazioneController</t>
        </is>
      </c>
    </row>
    <row r="8">
      <c r="A8" s="24" t="inlineStr">
        <is>
          <t>PrenotazioniService</t>
        </is>
      </c>
      <c r="B8" s="24" t="inlineStr">
        <is>
          <t>GetByIdAsync</t>
        </is>
      </c>
      <c r="C8" s="24" t="inlineStr">
        <is>
          <t>Pubblico</t>
        </is>
      </c>
      <c r="D8" s="16" t="inlineStr">
        <is>
          <t>Legge una prenotazione (il Cliente solo le sue)</t>
        </is>
      </c>
      <c r="E8" s="16" t="inlineStr">
        <is>
          <t>PrenotazioneController</t>
        </is>
      </c>
    </row>
    <row r="9">
      <c r="A9" s="24" t="inlineStr">
        <is>
          <t>PrenotazioniService</t>
        </is>
      </c>
      <c r="B9" s="24" t="inlineStr">
        <is>
          <t>GetAllPrenotazioniAsync</t>
        </is>
      </c>
      <c r="C9" s="24" t="inlineStr">
        <is>
          <t>Pubblico</t>
        </is>
      </c>
      <c r="D9" s="16" t="inlineStr">
        <is>
          <t>Elenco a pagine con filtri</t>
        </is>
      </c>
      <c r="E9" s="16" t="inlineStr">
        <is>
          <t>PrenotazioneController</t>
        </is>
      </c>
    </row>
    <row r="10">
      <c r="A10" s="24" t="inlineStr">
        <is>
          <t>PrenotazioniService</t>
        </is>
      </c>
      <c r="B10" s="24" t="inlineStr">
        <is>
          <t>GetPrenotazioniByDataAsync</t>
        </is>
      </c>
      <c r="C10" s="24" t="inlineStr">
        <is>
          <t>Pubblico</t>
        </is>
      </c>
      <c r="D10" s="16" t="inlineStr">
        <is>
          <t>Prenotazioni di una data</t>
        </is>
      </c>
      <c r="E10" s="16" t="inlineStr">
        <is>
          <t>PrenotazioneController</t>
        </is>
      </c>
    </row>
    <row r="11">
      <c r="A11" s="24" t="inlineStr">
        <is>
          <t>PrenotazioniService</t>
        </is>
      </c>
      <c r="B11" s="24" t="inlineStr">
        <is>
          <t>GetMiePrenotazioniAsync</t>
        </is>
      </c>
      <c r="C11" s="24" t="inlineStr">
        <is>
          <t>Pubblico</t>
        </is>
      </c>
      <c r="D11" s="16" t="inlineStr">
        <is>
          <t>Prenotazioni del Cliente collegato</t>
        </is>
      </c>
      <c r="E11" s="16" t="inlineStr">
        <is>
          <t>PrenotazioneController</t>
        </is>
      </c>
    </row>
    <row r="12">
      <c r="A12" s="24" t="inlineStr">
        <is>
          <t>PrenotazioniService</t>
        </is>
      </c>
      <c r="B12" s="24" t="inlineStr">
        <is>
          <t>ConfermaPrenotazioneAsync</t>
        </is>
      </c>
      <c r="C12" s="24" t="inlineStr">
        <is>
          <t>Pubblico</t>
        </is>
      </c>
      <c r="D12" s="16" t="inlineStr">
        <is>
          <t>Segna l'arrivo del cliente, solo nel giorno</t>
        </is>
      </c>
      <c r="E12" s="16" t="inlineStr">
        <is>
          <t>PrenotazioneController</t>
        </is>
      </c>
    </row>
    <row r="13">
      <c r="A13" s="24" t="inlineStr">
        <is>
          <t>PrenotazioniService</t>
        </is>
      </c>
      <c r="B13" s="24" t="inlineStr">
        <is>
          <t>CompletePrenotazioneAsync</t>
        </is>
      </c>
      <c r="C13" s="24" t="inlineStr">
        <is>
          <t>Pubblico</t>
        </is>
      </c>
      <c r="D13" s="16" t="inlineStr">
        <is>
          <t>Chiude una prenotazione in corso</t>
        </is>
      </c>
      <c r="E13" s="16" t="inlineStr">
        <is>
          <t>PrenotazioneController</t>
        </is>
      </c>
    </row>
    <row r="14">
      <c r="A14" s="24" t="inlineStr">
        <is>
          <t>PrenotazioniService</t>
        </is>
      </c>
      <c r="B14" s="24" t="inlineStr">
        <is>
          <t>AnnullaPrenotazioneAsync</t>
        </is>
      </c>
      <c r="C14" s="24" t="inlineStr">
        <is>
          <t>Pubblico</t>
        </is>
      </c>
      <c r="D14" s="16" t="inlineStr">
        <is>
          <t>Annulla, se la fascia non è finita</t>
        </is>
      </c>
      <c r="E14" s="16" t="inlineStr">
        <is>
          <t>PrenotazioneController</t>
        </is>
      </c>
    </row>
    <row r="15">
      <c r="A15" s="24" t="inlineStr">
        <is>
          <t>PrenotazioniService</t>
        </is>
      </c>
      <c r="B15" s="24" t="inlineStr">
        <is>
          <t>AutomaticCompletPrenotazioniAsync</t>
        </is>
      </c>
      <c r="C15" s="24" t="inlineStr">
        <is>
          <t>Pubblico</t>
        </is>
      </c>
      <c r="D15" s="16" t="inlineStr">
        <is>
          <t>Di notte chiude le in corso e segna le non presentate</t>
        </is>
      </c>
      <c r="E15" s="16" t="inlineStr">
        <is>
          <t>PrenotazioniJob</t>
        </is>
      </c>
    </row>
    <row r="16">
      <c r="A16" s="24" t="inlineStr">
        <is>
          <t>PrenotazioniService</t>
        </is>
      </c>
      <c r="B16" s="24" t="inlineStr">
        <is>
          <t>AutomaticDeletePrenotazioniAsync</t>
        </is>
      </c>
      <c r="C16" s="24" t="inlineStr">
        <is>
          <t>Pubblico</t>
        </is>
      </c>
      <c r="D16" s="16" t="inlineStr">
        <is>
          <t>Di notte elimina le chiuse più vecchie di 6 mesi</t>
        </is>
      </c>
      <c r="E16" s="16" t="inlineStr">
        <is>
          <t>PrenotazioniCleanupJob</t>
        </is>
      </c>
    </row>
    <row r="17">
      <c r="A17" s="24" t="inlineStr">
        <is>
          <t>PrenotazioniService</t>
        </is>
      </c>
      <c r="B17" s="24" t="inlineStr">
        <is>
          <t>ValidatePrenotazioneAsync</t>
        </is>
      </c>
      <c r="C17" s="24" t="inlineStr">
        <is>
          <t>Interno</t>
        </is>
      </c>
      <c r="D17" s="16" t="inlineStr">
        <is>
          <t>Controlla fascia, giorno e tetto dei coperti</t>
        </is>
      </c>
      <c r="E17" s="16" t="inlineStr">
        <is>
          <t>AddAsync, UpdateAsync</t>
        </is>
      </c>
    </row>
    <row r="18">
      <c r="A18" s="24" t="inlineStr">
        <is>
          <t>PrenotazioniService</t>
        </is>
      </c>
      <c r="B18" s="24" t="inlineStr">
        <is>
          <t>GuardCutoffAsync</t>
        </is>
      </c>
      <c r="C18" s="24" t="inlineStr">
        <is>
          <t>Interno</t>
        </is>
      </c>
      <c r="D18" s="16" t="inlineStr">
        <is>
          <t>Blocca le modifiche a una fascia già finita</t>
        </is>
      </c>
      <c r="E18" s="16" t="inlineStr">
        <is>
          <t>Update, Annulla</t>
        </is>
      </c>
    </row>
    <row r="19">
      <c r="A19" s="24" t="inlineStr">
        <is>
          <t>PrenotazioniService</t>
        </is>
      </c>
      <c r="B19" s="24" t="inlineStr">
        <is>
          <t>GuardUnaPrenotazioneAlGiornoAsync</t>
        </is>
      </c>
      <c r="C19" s="24" t="inlineStr">
        <is>
          <t>Interno</t>
        </is>
      </c>
      <c r="D19" s="16" t="inlineStr">
        <is>
          <t>Il Cliente ha al massimo una prenotazione al giorno</t>
        </is>
      </c>
      <c r="E19" s="16" t="inlineStr">
        <is>
          <t>AddAsync, UpdateAsync</t>
        </is>
      </c>
    </row>
    <row r="20">
      <c r="A20" s="24" t="inlineStr">
        <is>
          <t>PrenotazioniService</t>
        </is>
      </c>
      <c r="B20" s="24" t="inlineStr">
        <is>
          <t>IsSelfServiceCliente</t>
        </is>
      </c>
      <c r="C20" s="24" t="inlineStr">
        <is>
          <t>Interno</t>
        </is>
      </c>
      <c r="D20" s="16" t="inlineStr">
        <is>
          <t>Dice se prenota il Cliente da solo</t>
        </is>
      </c>
      <c r="E20" s="16" t="inlineStr">
        <is>
          <t>Regole del Cliente</t>
        </is>
      </c>
    </row>
    <row r="21">
      <c r="A21" s="24" t="inlineStr">
        <is>
          <t>PrenotazioniService</t>
        </is>
      </c>
      <c r="B21" s="24" t="inlineStr">
        <is>
          <t>AutomaticMarcaNonPresentateAsync</t>
        </is>
      </c>
      <c r="C21" s="24" t="inlineStr">
        <is>
          <t>Interno</t>
        </is>
      </c>
      <c r="D21" s="16" t="inlineStr">
        <is>
          <t>Segna «Non presentata» chi non è arrivato</t>
        </is>
      </c>
      <c r="E21" s="16" t="inlineStr">
        <is>
          <t>AutomaticCompletPrenotazioniAsync</t>
        </is>
      </c>
    </row>
    <row r="22">
      <c r="A22" s="24" t="inlineStr">
        <is>
          <t>PrenotazioniService</t>
        </is>
      </c>
      <c r="B22" s="24" t="inlineStr">
        <is>
          <t>ApplicaNumeroTurnoAsync</t>
        </is>
      </c>
      <c r="C22" s="24" t="inlineStr">
        <is>
          <t>Interno</t>
        </is>
      </c>
      <c r="D22" s="16" t="inlineStr">
        <is>
          <t>Calcola il turno (1°, 2°…) della fascia nel giorno</t>
        </is>
      </c>
      <c r="E22" s="16" t="inlineStr">
        <is>
          <t>Letture delle prenotazioni</t>
        </is>
      </c>
    </row>
    <row r="23">
      <c r="A23" s="24" t="inlineStr">
        <is>
          <t>PrenotazioniService</t>
        </is>
      </c>
      <c r="B23" s="24" t="inlineStr">
        <is>
          <t>CreaRigaPostazione</t>
        </is>
      </c>
      <c r="C23" s="24" t="inlineStr">
        <is>
          <t>Interno</t>
        </is>
      </c>
      <c r="D23" s="16" t="inlineStr">
        <is>
          <t>Crea il legame prenotazione-tavolo</t>
        </is>
      </c>
      <c r="E23" s="16" t="inlineStr">
        <is>
          <t>AddAsync, UpdateAsync</t>
        </is>
      </c>
    </row>
    <row r="24">
      <c r="A24" s="24" t="inlineStr">
        <is>
          <t>PrenotazioniService</t>
        </is>
      </c>
      <c r="B24" s="24" t="inlineStr">
        <is>
          <t>LeggiConLockAsync</t>
        </is>
      </c>
      <c r="C24" s="24" t="inlineStr">
        <is>
          <t>Interno</t>
        </is>
      </c>
      <c r="D24" s="16" t="inlineStr">
        <is>
          <t>Blocca e rilegge la prenotazione dentro la transazione</t>
        </is>
      </c>
      <c r="E24" s="16" t="inlineStr">
        <is>
          <t>Modifica e cambi di stato</t>
        </is>
      </c>
    </row>
    <row r="25">
      <c r="A25" s="24" t="inlineStr">
        <is>
          <t>PrenotazioniService</t>
        </is>
      </c>
      <c r="B25" s="24" t="inlineStr">
        <is>
          <t>EseguiInTransazioneAsync</t>
        </is>
      </c>
      <c r="C25" s="24" t="inlineStr">
        <is>
          <t>Interno</t>
        </is>
      </c>
      <c r="D25" s="16" t="inlineStr">
        <is>
          <t>Esegue tutto in transazione, riprovando se serve</t>
        </is>
      </c>
      <c r="E25" s="16" t="inlineStr">
        <is>
          <t>Scritture</t>
        </is>
      </c>
    </row>
    <row r="26">
      <c r="A26" s="24" t="inlineStr">
        <is>
          <t>PostazioneAssignmentService</t>
        </is>
      </c>
      <c r="B26" s="24" t="inlineStr">
        <is>
          <t>AssegnaPostazioneDisponibileAsync</t>
        </is>
      </c>
      <c r="C26" s="24" t="inlineStr">
        <is>
          <t>Pubblico</t>
        </is>
      </c>
      <c r="D26" s="16" t="inlineStr">
        <is>
          <t>Sceglie i tavoli liberi migliori</t>
        </is>
      </c>
      <c r="E26" s="16" t="inlineStr">
        <is>
          <t>PrenotazioniService</t>
        </is>
      </c>
    </row>
    <row r="27">
      <c r="A27" s="24" t="inlineStr">
        <is>
          <t>AssegnazioneTavoli</t>
        </is>
      </c>
      <c r="B27" s="24" t="inlineStr">
        <is>
          <t>TrovaMigliorCombinazione</t>
        </is>
      </c>
      <c r="C27" s="24" t="inlineStr">
        <is>
          <t>Pubblico</t>
        </is>
      </c>
      <c r="D27" s="16" t="inlineStr">
        <is>
          <t>Trova i tavoli che sprecano meno posti</t>
        </is>
      </c>
      <c r="E27" s="16" t="inlineStr">
        <is>
          <t>Assegnazione, Disponibilità</t>
        </is>
      </c>
    </row>
    <row r="28">
      <c r="A28" s="24" t="inlineStr">
        <is>
          <t>AssegnazioneTavoli</t>
        </is>
      </c>
      <c r="B28" s="24" t="inlineStr">
        <is>
          <t>CalcolaCapienza</t>
        </is>
      </c>
      <c r="C28" s="24" t="inlineStr">
        <is>
          <t>Pubblico</t>
        </is>
      </c>
      <c r="D28" s="16" t="inlineStr">
        <is>
          <t>Posti di un gruppo di tavoli (con bonus testate)</t>
        </is>
      </c>
      <c r="E28" s="16" t="inlineStr">
        <is>
          <t>TrovaMigliorCombinazione</t>
        </is>
      </c>
    </row>
    <row r="29">
      <c r="A29" s="24" t="inlineStr">
        <is>
          <t>AssegnazioneTavoli</t>
        </is>
      </c>
      <c r="B29" s="24" t="inlineStr">
        <is>
          <t>DistribuisciCoperti</t>
        </is>
      </c>
      <c r="C29" s="24" t="inlineStr">
        <is>
          <t>Pubblico</t>
        </is>
      </c>
      <c r="D29" s="16" t="inlineStr">
        <is>
          <t>Divide i coperti fra i tavoli scelti</t>
        </is>
      </c>
      <c r="E29" s="16" t="inlineStr">
        <is>
          <t>PostazioneAssignmentService</t>
        </is>
      </c>
    </row>
    <row r="30">
      <c r="A30" s="24" t="inlineStr">
        <is>
          <t>DisponibilitaService</t>
        </is>
      </c>
      <c r="B30" s="24" t="inlineStr">
        <is>
          <t>CheckDisponibilitaAsync</t>
        </is>
      </c>
      <c r="C30" s="24" t="inlineStr">
        <is>
          <t>Pubblico</t>
        </is>
      </c>
      <c r="D30" s="16" t="inlineStr">
        <is>
          <t>Fasce con posto per una data e un numero di coperti</t>
        </is>
      </c>
      <c r="E30" s="16" t="inlineStr">
        <is>
          <t>PrenotazioneController</t>
        </is>
      </c>
    </row>
    <row r="31">
      <c r="A31" s="24" t="inlineStr">
        <is>
          <t>FasciaOrariaService</t>
        </is>
      </c>
      <c r="B31" s="24" t="inlineStr">
        <is>
          <t>AddAsync</t>
        </is>
      </c>
      <c r="C31" s="24" t="inlineStr">
        <is>
          <t>Pubblico</t>
        </is>
      </c>
      <c r="D31" s="16" t="inlineStr">
        <is>
          <t>Crea una fascia senza accavallamenti</t>
        </is>
      </c>
      <c r="E31" s="16" t="inlineStr">
        <is>
          <t>FasceOrarieController</t>
        </is>
      </c>
    </row>
    <row r="32">
      <c r="A32" s="24" t="inlineStr">
        <is>
          <t>FasciaOrariaService</t>
        </is>
      </c>
      <c r="B32" s="24" t="inlineStr">
        <is>
          <t>UpdateAsync</t>
        </is>
      </c>
      <c r="C32" s="24" t="inlineStr">
        <is>
          <t>Pubblico</t>
        </is>
      </c>
      <c r="D32" s="16" t="inlineStr">
        <is>
          <t>Modifica una fascia (orari bloccati se ha prenotazioni future)</t>
        </is>
      </c>
      <c r="E32" s="16" t="inlineStr">
        <is>
          <t>FasceOrarieController</t>
        </is>
      </c>
    </row>
    <row r="33">
      <c r="A33" s="24" t="inlineStr">
        <is>
          <t>FasciaOrariaService</t>
        </is>
      </c>
      <c r="B33" s="24" t="inlineStr">
        <is>
          <t>DeleteAsync</t>
        </is>
      </c>
      <c r="C33" s="24" t="inlineStr">
        <is>
          <t>Pubblico</t>
        </is>
      </c>
      <c r="D33" s="16" t="inlineStr">
        <is>
          <t>Elimina una fascia mai usata</t>
        </is>
      </c>
      <c r="E33" s="16" t="inlineStr">
        <is>
          <t>FasceOrarieController</t>
        </is>
      </c>
    </row>
    <row r="34">
      <c r="A34" s="24" t="inlineStr">
        <is>
          <t>FasciaOrariaService</t>
        </is>
      </c>
      <c r="B34" s="24" t="inlineStr">
        <is>
          <t>UpdateStatoAsync</t>
        </is>
      </c>
      <c r="C34" s="24" t="inlineStr">
        <is>
          <t>Pubblico</t>
        </is>
      </c>
      <c r="D34" s="16" t="inlineStr">
        <is>
          <t>Accende o spegne una fascia</t>
        </is>
      </c>
      <c r="E34" s="16" t="inlineStr">
        <is>
          <t>FasceOrarieController</t>
        </is>
      </c>
    </row>
    <row r="35">
      <c r="A35" s="24" t="inlineStr">
        <is>
          <t>FasciaOrariaService</t>
        </is>
      </c>
      <c r="B35" s="24" t="inlineStr">
        <is>
          <t>GetByIdAsync / GetFasciaOrariaDTOByIdAsync</t>
        </is>
      </c>
      <c r="C35" s="24" t="inlineStr">
        <is>
          <t>Pubblico</t>
        </is>
      </c>
      <c r="D35" s="16" t="inlineStr">
        <is>
          <t>Legge una fascia</t>
        </is>
      </c>
      <c r="E35" s="16" t="inlineStr">
        <is>
          <t>FasceOrarieController</t>
        </is>
      </c>
    </row>
    <row r="36">
      <c r="A36" s="24" t="inlineStr">
        <is>
          <t>FasciaOrariaService</t>
        </is>
      </c>
      <c r="B36" s="24" t="inlineStr">
        <is>
          <t>GetAllFasceAsync</t>
        </is>
      </c>
      <c r="C36" s="24" t="inlineStr">
        <is>
          <t>Pubblico</t>
        </is>
      </c>
      <c r="D36" s="16" t="inlineStr">
        <is>
          <t>Tutte le fasce</t>
        </is>
      </c>
      <c r="E36" s="16" t="inlineStr">
        <is>
          <t>FasceOrarieController</t>
        </is>
      </c>
    </row>
    <row r="37">
      <c r="A37" s="24" t="inlineStr">
        <is>
          <t>FasciaOrariaService</t>
        </is>
      </c>
      <c r="B37" s="24" t="inlineStr">
        <is>
          <t>GetFasceAttiveAsync</t>
        </is>
      </c>
      <c r="C37" s="24" t="inlineStr">
        <is>
          <t>Pubblico</t>
        </is>
      </c>
      <c r="D37" s="16" t="inlineStr">
        <is>
          <t>Fasce attive (da cache)</t>
        </is>
      </c>
      <c r="E37" s="16" t="inlineStr">
        <is>
          <t>FasceOrarieController</t>
        </is>
      </c>
    </row>
    <row r="38">
      <c r="A38" s="24" t="inlineStr">
        <is>
          <t>FasciaOrariaService</t>
        </is>
      </c>
      <c r="B38" s="24" t="inlineStr">
        <is>
          <t>GetFasceByGiornoAsync</t>
        </is>
      </c>
      <c r="C38" s="24" t="inlineStr">
        <is>
          <t>Pubblico</t>
        </is>
      </c>
      <c r="D38" s="16" t="inlineStr">
        <is>
          <t>Fasce di un giorno (da cache)</t>
        </is>
      </c>
      <c r="E38" s="16" t="inlineStr">
        <is>
          <t>FasceOrarieController, Prenotazioni</t>
        </is>
      </c>
    </row>
    <row r="39">
      <c r="A39" s="24" t="inlineStr">
        <is>
          <t>FasciaOrariaService</t>
        </is>
      </c>
      <c r="B39" s="24" t="inlineStr">
        <is>
          <t>VerificaDisponibilitaPerFasciaAsync</t>
        </is>
      </c>
      <c r="C39" s="24" t="inlineStr">
        <is>
          <t>Pubblico</t>
        </is>
      </c>
      <c r="D39" s="16" t="inlineStr">
        <is>
          <t>Posti liberi in una fascia e data</t>
        </is>
      </c>
      <c r="E39" s="16" t="inlineStr">
        <is>
          <t>FasceOrarieController</t>
        </is>
      </c>
    </row>
    <row r="40">
      <c r="A40" s="24" t="inlineStr">
        <is>
          <t>FasciaOrariaService</t>
        </is>
      </c>
      <c r="B40" s="24" t="inlineStr">
        <is>
          <t>GuardSovrapposizioneAsync</t>
        </is>
      </c>
      <c r="C40" s="24" t="inlineStr">
        <is>
          <t>Interno</t>
        </is>
      </c>
      <c r="D40" s="16" t="inlineStr">
        <is>
          <t>Blocca fasce che si accavallano nello stesso giorno</t>
        </is>
      </c>
      <c r="E40" s="16" t="inlineStr">
        <is>
          <t>AddAsync, UpdateAsync</t>
        </is>
      </c>
    </row>
    <row r="41">
      <c r="A41" s="24" t="inlineStr">
        <is>
          <t>FasciaOrariaService</t>
        </is>
      </c>
      <c r="B41" s="24" t="inlineStr">
        <is>
          <t>ParseOrario</t>
        </is>
      </c>
      <c r="C41" s="24" t="inlineStr">
        <is>
          <t>Interno</t>
        </is>
      </c>
      <c r="D41" s="16" t="inlineStr">
        <is>
          <t>Trasforma «HH:mm» in orario</t>
        </is>
      </c>
      <c r="E41" s="16" t="inlineStr">
        <is>
          <t>AddAsync, UpdateAsync</t>
        </is>
      </c>
    </row>
    <row r="42">
      <c r="A42" s="24" t="inlineStr">
        <is>
          <t>PostazioneService</t>
        </is>
      </c>
      <c r="B42" s="24" t="inlineStr">
        <is>
          <t>AddAsync</t>
        </is>
      </c>
      <c r="C42" s="24" t="inlineStr">
        <is>
          <t>Pubblico</t>
        </is>
      </c>
      <c r="D42" s="16" t="inlineStr">
        <is>
          <t>Crea un tavolo</t>
        </is>
      </c>
      <c r="E42" s="16" t="inlineStr">
        <is>
          <t>PostazioneController</t>
        </is>
      </c>
    </row>
    <row r="43">
      <c r="A43" s="24" t="inlineStr">
        <is>
          <t>PostazioneService</t>
        </is>
      </c>
      <c r="B43" s="24" t="inlineStr">
        <is>
          <t>UpdateAsync</t>
        </is>
      </c>
      <c r="C43" s="24" t="inlineStr">
        <is>
          <t>Pubblico</t>
        </is>
      </c>
      <c r="D43" s="16" t="inlineStr">
        <is>
          <t>Modifica un tavolo, anche la casella Attiva</t>
        </is>
      </c>
      <c r="E43" s="16" t="inlineStr">
        <is>
          <t>PostazioneController</t>
        </is>
      </c>
    </row>
    <row r="44">
      <c r="A44" s="24" t="inlineStr">
        <is>
          <t>PostazioneService</t>
        </is>
      </c>
      <c r="B44" s="24" t="inlineStr">
        <is>
          <t>DeleteAsync</t>
        </is>
      </c>
      <c r="C44" s="24" t="inlineStr">
        <is>
          <t>Pubblico</t>
        </is>
      </c>
      <c r="D44" s="16" t="inlineStr">
        <is>
          <t>Elimina un tavolo senza prenotazioni aperte</t>
        </is>
      </c>
      <c r="E44" s="16" t="inlineStr">
        <is>
          <t>PostazioneController</t>
        </is>
      </c>
    </row>
    <row r="45">
      <c r="A45" s="24" t="inlineStr">
        <is>
          <t>PostazioneService</t>
        </is>
      </c>
      <c r="B45" s="24" t="inlineStr">
        <is>
          <t>AssociaPostazioneAZonaAsync</t>
        </is>
      </c>
      <c r="C45" s="24" t="inlineStr">
        <is>
          <t>Pubblico</t>
        </is>
      </c>
      <c r="D45" s="16" t="inlineStr">
        <is>
          <t>Sposta un tavolo in un'altra zona</t>
        </is>
      </c>
      <c r="E45" s="16" t="inlineStr">
        <is>
          <t>PostazioneController</t>
        </is>
      </c>
    </row>
    <row r="46">
      <c r="A46" s="24" t="inlineStr">
        <is>
          <t>PostazioneService</t>
        </is>
      </c>
      <c r="B46" s="24" t="inlineStr">
        <is>
          <t>GetPostazioneDTOByIdAsync</t>
        </is>
      </c>
      <c r="C46" s="24" t="inlineStr">
        <is>
          <t>Pubblico</t>
        </is>
      </c>
      <c r="D46" s="16" t="inlineStr">
        <is>
          <t>Legge un tavolo</t>
        </is>
      </c>
      <c r="E46" s="16" t="inlineStr">
        <is>
          <t>PostazioneController</t>
        </is>
      </c>
    </row>
    <row r="47">
      <c r="A47" s="24" t="inlineStr">
        <is>
          <t>PostazioneService</t>
        </is>
      </c>
      <c r="B47" s="24" t="inlineStr">
        <is>
          <t>GetPostazioniAttiveAsync</t>
        </is>
      </c>
      <c r="C47" s="24" t="inlineStr">
        <is>
          <t>Pubblico</t>
        </is>
      </c>
      <c r="D47" s="16" t="inlineStr">
        <is>
          <t>Tavoli attivi (da cache)</t>
        </is>
      </c>
      <c r="E47" s="16" t="inlineStr">
        <is>
          <t>PostazioneController</t>
        </is>
      </c>
    </row>
    <row r="48">
      <c r="A48" s="24" t="inlineStr">
        <is>
          <t>PostazioneService</t>
        </is>
      </c>
      <c r="B48" s="24" t="inlineStr">
        <is>
          <t>GetPostazioniPerZonaAsync</t>
        </is>
      </c>
      <c r="C48" s="24" t="inlineStr">
        <is>
          <t>Pubblico</t>
        </is>
      </c>
      <c r="D48" s="16" t="inlineStr">
        <is>
          <t>Tavoli di una zona</t>
        </is>
      </c>
      <c r="E48" s="16" t="inlineStr">
        <is>
          <t>PostazioneController</t>
        </is>
      </c>
    </row>
    <row r="49">
      <c r="A49" s="24" t="inlineStr">
        <is>
          <t>PostazioneService</t>
        </is>
      </c>
      <c r="B49" s="24" t="inlineStr">
        <is>
          <t>GetPostazioniDisponibiliAsync</t>
        </is>
      </c>
      <c r="C49" s="24" t="inlineStr">
        <is>
          <t>Pubblico</t>
        </is>
      </c>
      <c r="D49" s="16" t="inlineStr">
        <is>
          <t>Tavoli liberi in data e fascia</t>
        </is>
      </c>
      <c r="E49" s="16" t="inlineStr">
        <is>
          <t>PostazioneController</t>
        </is>
      </c>
    </row>
    <row r="50">
      <c r="A50" s="24" t="inlineStr">
        <is>
          <t>PostazioneService</t>
        </is>
      </c>
      <c r="B50" s="24" t="inlineStr">
        <is>
          <t>GetRiepilogoSalaAsync</t>
        </is>
      </c>
      <c r="C50" s="24" t="inlineStr">
        <is>
          <t>Pubblico</t>
        </is>
      </c>
      <c r="D50" s="16" t="inlineStr">
        <is>
          <t>Posti totali confrontati con i tetti delle fasce</t>
        </is>
      </c>
      <c r="E50" s="16" t="inlineStr">
        <is>
          <t>PostazioneController</t>
        </is>
      </c>
    </row>
    <row r="51">
      <c r="A51" s="24" t="inlineStr">
        <is>
          <t>PostazioneService</t>
        </is>
      </c>
      <c r="B51" s="24" t="inlineStr">
        <is>
          <t>ValidatePostazioneAsync</t>
        </is>
      </c>
      <c r="C51" s="24" t="inlineStr">
        <is>
          <t>Interno</t>
        </is>
      </c>
      <c r="D51" s="16" t="inlineStr">
        <is>
          <t>Controlla numero unico e zona valida</t>
        </is>
      </c>
      <c r="E51" s="16" t="inlineStr">
        <is>
          <t>AddAsync, UpdateAsync</t>
        </is>
      </c>
    </row>
    <row r="52">
      <c r="A52" s="24" t="inlineStr">
        <is>
          <t>ZonaService</t>
        </is>
      </c>
      <c r="B52" s="24" t="inlineStr">
        <is>
          <t>AddAsync</t>
        </is>
      </c>
      <c r="C52" s="24" t="inlineStr">
        <is>
          <t>Pubblico</t>
        </is>
      </c>
      <c r="D52" s="16" t="inlineStr">
        <is>
          <t>Crea una zona con nome unico</t>
        </is>
      </c>
      <c r="E52" s="16" t="inlineStr">
        <is>
          <t>ZonaController</t>
        </is>
      </c>
    </row>
    <row r="53">
      <c r="A53" s="24" t="inlineStr">
        <is>
          <t>ZonaService</t>
        </is>
      </c>
      <c r="B53" s="24" t="inlineStr">
        <is>
          <t>UpdateAsync</t>
        </is>
      </c>
      <c r="C53" s="24" t="inlineStr">
        <is>
          <t>Pubblico</t>
        </is>
      </c>
      <c r="D53" s="16" t="inlineStr">
        <is>
          <t>Modifica una zona</t>
        </is>
      </c>
      <c r="E53" s="16" t="inlineStr">
        <is>
          <t>ZonaController</t>
        </is>
      </c>
    </row>
    <row r="54">
      <c r="A54" s="24" t="inlineStr">
        <is>
          <t>ZonaService</t>
        </is>
      </c>
      <c r="B54" s="24" t="inlineStr">
        <is>
          <t>DeleteAsync</t>
        </is>
      </c>
      <c r="C54" s="24" t="inlineStr">
        <is>
          <t>Pubblico</t>
        </is>
      </c>
      <c r="D54" s="16" t="inlineStr">
        <is>
          <t>Elimina una zona senza tavoli</t>
        </is>
      </c>
      <c r="E54" s="16" t="inlineStr">
        <is>
          <t>ZonaController</t>
        </is>
      </c>
    </row>
    <row r="55">
      <c r="A55" s="24" t="inlineStr">
        <is>
          <t>ZonaService</t>
        </is>
      </c>
      <c r="B55" s="24" t="inlineStr">
        <is>
          <t>UpdateStatoZonaAsync</t>
        </is>
      </c>
      <c r="C55" s="24" t="inlineStr">
        <is>
          <t>Pubblico</t>
        </is>
      </c>
      <c r="D55" s="16" t="inlineStr">
        <is>
          <t>Accende o spegne una zona</t>
        </is>
      </c>
      <c r="E55" s="16" t="inlineStr">
        <is>
          <t>ZonaController</t>
        </is>
      </c>
    </row>
    <row r="56">
      <c r="A56" s="24" t="inlineStr">
        <is>
          <t>ZonaService</t>
        </is>
      </c>
      <c r="B56" s="24" t="inlineStr">
        <is>
          <t>GetByIdAsync</t>
        </is>
      </c>
      <c r="C56" s="24" t="inlineStr">
        <is>
          <t>Pubblico</t>
        </is>
      </c>
      <c r="D56" s="16" t="inlineStr">
        <is>
          <t>Legge una zona</t>
        </is>
      </c>
      <c r="E56" s="16" t="inlineStr">
        <is>
          <t>ZonaController</t>
        </is>
      </c>
    </row>
    <row r="57">
      <c r="A57" s="24" t="inlineStr">
        <is>
          <t>ZonaService</t>
        </is>
      </c>
      <c r="B57" s="24" t="inlineStr">
        <is>
          <t>GetAllZoneAsync</t>
        </is>
      </c>
      <c r="C57" s="24" t="inlineStr">
        <is>
          <t>Pubblico</t>
        </is>
      </c>
      <c r="D57" s="16" t="inlineStr">
        <is>
          <t>Tutte le zone (da cache)</t>
        </is>
      </c>
      <c r="E57" s="16" t="inlineStr">
        <is>
          <t>ZonaController</t>
        </is>
      </c>
    </row>
    <row r="58">
      <c r="A58" s="24" t="inlineStr">
        <is>
          <t>ZonaService</t>
        </is>
      </c>
      <c r="B58" s="24" t="inlineStr">
        <is>
          <t>GetAllZoneAttiveAsync</t>
        </is>
      </c>
      <c r="C58" s="24" t="inlineStr">
        <is>
          <t>Pubblico</t>
        </is>
      </c>
      <c r="D58" s="16" t="inlineStr">
        <is>
          <t>Zone attive (da cache)</t>
        </is>
      </c>
      <c r="E58" s="16" t="inlineStr">
        <is>
          <t>ZonaController</t>
        </is>
      </c>
    </row>
    <row r="59">
      <c r="A59" s="24" t="inlineStr">
        <is>
          <t>ZonaService</t>
        </is>
      </c>
      <c r="B59" s="24" t="inlineStr">
        <is>
          <t>IsZonaUsataAsync</t>
        </is>
      </c>
      <c r="C59" s="24" t="inlineStr">
        <is>
          <t>Pubblico</t>
        </is>
      </c>
      <c r="D59" s="16" t="inlineStr">
        <is>
          <t>Dice se la zona ha tavoli</t>
        </is>
      </c>
      <c r="E59" s="16" t="inlineStr">
        <is>
          <t>ZonaController</t>
        </is>
      </c>
    </row>
    <row r="60">
      <c r="A60" s="24" t="inlineStr">
        <is>
          <t>ZonaService</t>
        </is>
      </c>
      <c r="B60" s="24" t="inlineStr">
        <is>
          <t>InvalidateZoneCache</t>
        </is>
      </c>
      <c r="C60" s="24" t="inlineStr">
        <is>
          <t>Interno</t>
        </is>
      </c>
      <c r="D60" s="16" t="inlineStr">
        <is>
          <t>Svuota la cache delle zone dopo una modifica</t>
        </is>
      </c>
      <c r="E60" s="16" t="inlineStr">
        <is>
          <t>Scritture</t>
        </is>
      </c>
    </row>
    <row r="61">
      <c r="A61" s="24" t="inlineStr">
        <is>
          <t>DashboardService</t>
        </is>
      </c>
      <c r="B61" s="24" t="inlineStr">
        <is>
          <t>GetDashboardGiornalieroAsync</t>
        </is>
      </c>
      <c r="C61" s="24" t="inlineStr">
        <is>
          <t>Pubblico</t>
        </is>
      </c>
      <c r="D61" s="16" t="inlineStr">
        <is>
          <t>Numeri del giorno: prenotazioni, coperti, tavoli</t>
        </is>
      </c>
      <c r="E61" s="16" t="inlineStr">
        <is>
          <t>DashboardController</t>
        </is>
      </c>
    </row>
    <row r="62">
      <c r="A62" s="24" t="inlineStr">
        <is>
          <t>DashboardService</t>
        </is>
      </c>
      <c r="B62" s="24" t="inlineStr">
        <is>
          <t>GetDashboardSettimanaleAsync</t>
        </is>
      </c>
      <c r="C62" s="24" t="inlineStr">
        <is>
          <t>Pubblico</t>
        </is>
      </c>
      <c r="D62" s="16" t="inlineStr">
        <is>
          <t>Numeri di 7 giorni: coperti, annullate, non presentate</t>
        </is>
      </c>
      <c r="E62" s="16" t="inlineStr">
        <is>
          <t>DashboardController</t>
        </is>
      </c>
    </row>
    <row r="63">
      <c r="A63" s="24" t="inlineStr">
        <is>
          <t>LogActivityService</t>
        </is>
      </c>
      <c r="B63" s="24" t="inlineStr">
        <is>
          <t>LogAsync</t>
        </is>
      </c>
      <c r="C63" s="24" t="inlineStr">
        <is>
          <t>Pubblico</t>
        </is>
      </c>
      <c r="D63" s="16" t="inlineStr">
        <is>
          <t>Registra un'azione con utente e IP</t>
        </is>
      </c>
      <c r="E63" s="16" t="inlineStr">
        <is>
          <t>Servizi e controller</t>
        </is>
      </c>
    </row>
    <row r="64">
      <c r="A64" s="24" t="inlineStr">
        <is>
          <t>LogActivityService</t>
        </is>
      </c>
      <c r="B64" s="24" t="inlineStr">
        <is>
          <t>GetLogAsync</t>
        </is>
      </c>
      <c r="C64" s="24" t="inlineStr">
        <is>
          <t>Pubblico</t>
        </is>
      </c>
      <c r="D64" s="16" t="inlineStr">
        <is>
          <t>Cerca nel registro con filtri</t>
        </is>
      </c>
      <c r="E64" s="16" t="inlineStr">
        <is>
          <t>LogActivityController</t>
        </is>
      </c>
    </row>
    <row r="65">
      <c r="A65" s="24" t="inlineStr">
        <is>
          <t>JwtTokenGenerator</t>
        </is>
      </c>
      <c r="B65" s="24" t="inlineStr">
        <is>
          <t>GenerateToken</t>
        </is>
      </c>
      <c r="C65" s="24" t="inlineStr">
        <is>
          <t>Pubblico</t>
        </is>
      </c>
      <c r="D65" s="16" t="inlineStr">
        <is>
          <t>Crea il token con Id, email, ruoli e security stamp</t>
        </is>
      </c>
      <c r="E65" s="16" t="inlineStr">
        <is>
          <t>Login, Setup</t>
        </is>
      </c>
    </row>
    <row r="66">
      <c r="A66" s="24" t="inlineStr">
        <is>
          <t>SystemClock (IClock)</t>
        </is>
      </c>
      <c r="B66" s="24" t="inlineStr">
        <is>
          <t>NowInRome / TodayInRome</t>
        </is>
      </c>
      <c r="C66" s="24" t="inlineStr">
        <is>
          <t>Pubblico</t>
        </is>
      </c>
      <c r="D66" s="16" t="inlineStr">
        <is>
          <t>Ora e data di oggi a Roma</t>
        </is>
      </c>
      <c r="E66" s="16" t="inlineStr">
        <is>
          <t>Servizi e validatori</t>
        </is>
      </c>
    </row>
    <row r="67">
      <c r="A67" s="24" t="inlineStr">
        <is>
          <t>EsecutoreTransazione</t>
        </is>
      </c>
      <c r="B67" s="24" t="inlineStr">
        <is>
          <t>EseguiAsync</t>
        </is>
      </c>
      <c r="C67" s="24" t="inlineStr">
        <is>
          <t>Pubblico</t>
        </is>
      </c>
      <c r="D67" s="16" t="inlineStr">
        <is>
          <t>Esegue un blocco in transazione con nuovi tentativi</t>
        </is>
      </c>
      <c r="E67" s="16" t="inlineStr">
        <is>
          <t>Servizi</t>
        </is>
      </c>
    </row>
    <row r="68">
      <c r="A68" s="24" t="inlineStr">
        <is>
          <t>IndirizzoClient</t>
        </is>
      </c>
      <c r="B68" s="24" t="inlineStr">
        <is>
          <t>Ottieni</t>
        </is>
      </c>
      <c r="C68" s="24" t="inlineStr">
        <is>
          <t>Pubblico</t>
        </is>
      </c>
      <c r="D68" s="16" t="inlineStr">
        <is>
          <t>Trova l'IP vero di chi chiama</t>
        </is>
      </c>
      <c r="E68" s="16" t="inlineStr">
        <is>
          <t>Registro, limite login</t>
        </is>
      </c>
    </row>
    <row r="69">
      <c r="A69" s="24" t="inlineStr">
        <is>
          <t>DbExceptionTranslator</t>
        </is>
      </c>
      <c r="B69" s="24" t="inlineStr">
        <is>
          <t>IsUniqueViolation</t>
        </is>
      </c>
      <c r="C69" s="24" t="inlineStr">
        <is>
          <t>Pubblico</t>
        </is>
      </c>
      <c r="D69" s="16" t="inlineStr">
        <is>
          <t>Riconosce un doppione rifiutato dal database</t>
        </is>
      </c>
      <c r="E69" s="16" t="inlineStr">
        <is>
          <t>Servizi</t>
        </is>
      </c>
    </row>
  </sheetData>
  <mergeCells count="1">
    <mergeCell ref="A1:E1"/>
  </mergeCells>
  <conditionalFormatting sqref="C5:C1000">
    <cfRule type="expression" priority="1" dxfId="2">
      <formula>$C5="Pubblico"</formula>
    </cfRule>
    <cfRule type="expression" priority="2" dxfId="1">
      <formula>$C5="Interno"</formula>
    </cfRule>
  </conditionalFormatting>
  <hyperlinks>
    <hyperlink ref="E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E5FAD"/>
    <outlinePr summaryBelow="1" summaryRight="1"/>
    <pageSetUpPr/>
  </sheetPr>
  <dimension ref="A1:C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8" customWidth="1" min="2" max="2"/>
    <col width="90" customWidth="1" min="3" max="3"/>
  </cols>
  <sheetData>
    <row r="1" ht="34" customHeight="1">
      <c r="A1" s="20" t="inlineStr">
        <is>
          <t>BE · VALIDATORI — I CONTROLLI SUI DATI IN ARRIVO</t>
        </is>
      </c>
      <c r="B1" s="21" t="n"/>
      <c r="C1" s="21" t="n"/>
    </row>
    <row r="2" ht="20" customHeight="1">
      <c r="A2" s="3" t="inlineStr">
        <is>
          <t>FluentValidation: se un controllo fallisce l'API risponde 400 con il messaggio in italiano. Cartella GestoraWebApi/Validators.</t>
        </is>
      </c>
      <c r="C2" s="22" t="inlineStr">
        <is>
          <t>← Torna alla Dashboard</t>
        </is>
      </c>
    </row>
    <row r="4" ht="24" customHeight="1">
      <c r="A4" s="23" t="inlineStr">
        <is>
          <t>Validatore</t>
        </is>
      </c>
      <c r="B4" s="23" t="inlineStr">
        <is>
          <t>Controlla</t>
        </is>
      </c>
      <c r="C4" s="23" t="inlineStr">
        <is>
          <t>Regole principali</t>
        </is>
      </c>
    </row>
    <row r="5">
      <c r="A5" s="24" t="inlineStr">
        <is>
          <t>ZonaDTOValidator</t>
        </is>
      </c>
      <c r="B5" s="24" t="inlineStr">
        <is>
          <t>ZonaDTO</t>
        </is>
      </c>
      <c r="C5" s="16" t="inlineStr">
        <is>
          <t>Nome obbligatorio, max 100 caratteri</t>
        </is>
      </c>
    </row>
    <row r="6">
      <c r="A6" s="24" t="inlineStr">
        <is>
          <t>PostazioneDTOValidator</t>
        </is>
      </c>
      <c r="B6" s="24" t="inlineStr">
        <is>
          <t>PostazioneDTO</t>
        </is>
      </c>
      <c r="C6" s="16" t="inlineStr">
        <is>
          <t>Numero, capienza e zona maggiori di zero</t>
        </is>
      </c>
    </row>
    <row r="7">
      <c r="A7" s="24" t="inlineStr">
        <is>
          <t>PostazioneUpdateDTOValidator</t>
        </is>
      </c>
      <c r="B7" s="24" t="inlineStr">
        <is>
          <t>PostazioneUpdateDTO</t>
        </is>
      </c>
      <c r="C7" s="16" t="inlineStr">
        <is>
          <t>Id, numero, capienza e zona maggiori di zero</t>
        </is>
      </c>
    </row>
    <row r="8">
      <c r="A8" s="24" t="inlineStr">
        <is>
          <t>FasciaOrariaDTOValidator</t>
        </is>
      </c>
      <c r="B8" s="24" t="inlineStr">
        <is>
          <t>FasciaOrariaDTO</t>
        </is>
      </c>
      <c r="C8" s="16" t="inlineStr">
        <is>
          <t>Orari «HH:mm» validi, fine dopo l'inizio (max 23:59), tetto &gt; 0, giorno 0-6</t>
        </is>
      </c>
    </row>
    <row r="9">
      <c r="A9" s="24" t="inlineStr">
        <is>
          <t>PrenotazioneCreateDTOValidator</t>
        </is>
      </c>
      <c r="B9" s="24" t="inlineStr">
        <is>
          <t>PrenotazioneCreateDTO</t>
        </is>
      </c>
      <c r="C9" s="16" t="inlineStr">
        <is>
          <t>Coperti da 1 a 50, data fra oggi e un anno, fascia valida, note max 500</t>
        </is>
      </c>
    </row>
    <row r="10">
      <c r="A10" s="24" t="inlineStr">
        <is>
          <t>CheckDisponibilitaDTOValidator</t>
        </is>
      </c>
      <c r="B10" s="24" t="inlineStr">
        <is>
          <t>CheckDisponibilitaDTO</t>
        </is>
      </c>
      <c r="C10" s="16" t="inlineStr">
        <is>
          <t>Coperti da 1 a 50, data fra oggi e un anno</t>
        </is>
      </c>
    </row>
    <row r="11">
      <c r="A11" s="24" t="inlineStr">
        <is>
          <t>RegisterDTOValidator</t>
        </is>
      </c>
      <c r="B11" s="24" t="inlineStr">
        <is>
          <t>RegisterDTO</t>
        </is>
      </c>
      <c r="C11" s="16" t="inlineStr">
        <is>
          <t>Nome 3-50 caratteri, email valida, password min 8 con maiuscola, numero e simbolo</t>
        </is>
      </c>
    </row>
    <row r="12">
      <c r="A12" s="24" t="inlineStr">
        <is>
          <t>UpdateUserDTOValidator</t>
        </is>
      </c>
      <c r="B12" s="24" t="inlineStr">
        <is>
          <t>UpdateUserDTO</t>
        </is>
      </c>
      <c r="C12" s="16" t="inlineStr">
        <is>
          <t>Se presenti: nome 3-50 caratteri, email valida</t>
        </is>
      </c>
    </row>
    <row r="13">
      <c r="A13" s="24" t="inlineStr">
        <is>
          <t>AdminResetPasswordDTOValidator</t>
        </is>
      </c>
      <c r="B13" s="24" t="inlineStr">
        <is>
          <t>AdminResetPasswordDTO</t>
        </is>
      </c>
      <c r="C13" s="16" t="inlineStr">
        <is>
          <t>Password min 8 con maiuscola, numero e simbolo</t>
        </is>
      </c>
    </row>
  </sheetData>
  <mergeCells count="1">
    <mergeCell ref="A1:C1"/>
  </mergeCells>
  <hyperlinks>
    <hyperlink ref="C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2E5FAD"/>
    <outlinePr summaryBelow="1" summaryRight="1"/>
    <pageSetUpPr/>
  </sheetPr>
  <dimension ref="A1:C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8" customWidth="1" min="2" max="2"/>
    <col width="90" customWidth="1" min="3" max="3"/>
  </cols>
  <sheetData>
    <row r="1" ht="34" customHeight="1">
      <c r="A1" s="20" t="inlineStr">
        <is>
          <t>BE · INFRASTRUTTURA — CONFIGURAZIONE, ERRORI, AVVIO</t>
        </is>
      </c>
      <c r="B1" s="21" t="n"/>
      <c r="C1" s="21" t="n"/>
    </row>
    <row r="2" ht="20" customHeight="1">
      <c r="A2" s="3" t="inlineStr">
        <is>
          <t>Quello che non è logica di prenotazione ma fa funzionare l'API: Program.cs, Infrastructure, Extensions, Development.</t>
        </is>
      </c>
      <c r="C2" s="22" t="inlineStr">
        <is>
          <t>← Torna alla Dashboard</t>
        </is>
      </c>
    </row>
    <row r="4" ht="24" customHeight="1">
      <c r="A4" s="23" t="inlineStr">
        <is>
          <t>Componente</t>
        </is>
      </c>
      <c r="B4" s="23" t="inlineStr">
        <is>
          <t>Tipo</t>
        </is>
      </c>
      <c r="C4" s="23" t="inlineStr">
        <is>
          <t>Cosa fa</t>
        </is>
      </c>
    </row>
    <row r="5">
      <c r="A5" s="24" t="inlineStr">
        <is>
          <t>ExceptionMiddleware</t>
        </is>
      </c>
      <c r="B5" s="24" t="inlineStr">
        <is>
          <t>Middleware</t>
        </is>
      </c>
      <c r="C5" s="16" t="inlineStr">
        <is>
          <t>Trasforma ogni errore in una risposta JSON chiara</t>
        </is>
      </c>
    </row>
    <row r="6">
      <c r="A6" s="24" t="inlineStr">
        <is>
          <t>NotFoundException</t>
        </is>
      </c>
      <c r="B6" s="24" t="inlineStr">
        <is>
          <t>Eccezione</t>
        </is>
      </c>
      <c r="C6" s="16" t="inlineStr">
        <is>
          <t>→ 404: elemento non trovato</t>
        </is>
      </c>
    </row>
    <row r="7">
      <c r="A7" s="24" t="inlineStr">
        <is>
          <t>ValidationException / ArgumentException</t>
        </is>
      </c>
      <c r="B7" s="24" t="inlineStr">
        <is>
          <t>Eccezione</t>
        </is>
      </c>
      <c r="C7" s="16" t="inlineStr">
        <is>
          <t>→ 400: dati non validi</t>
        </is>
      </c>
    </row>
    <row r="8">
      <c r="A8" s="24" t="inlineStr">
        <is>
          <t>UnauthorizedAccessException</t>
        </is>
      </c>
      <c r="B8" s="24" t="inlineStr">
        <is>
          <t>Eccezione</t>
        </is>
      </c>
      <c r="C8" s="16" t="inlineStr">
        <is>
          <t>→ 401: non autenticato</t>
        </is>
      </c>
    </row>
    <row r="9">
      <c r="A9" s="24" t="inlineStr">
        <is>
          <t>ForbiddenException</t>
        </is>
      </c>
      <c r="B9" s="24" t="inlineStr">
        <is>
          <t>Eccezione</t>
        </is>
      </c>
      <c r="C9" s="16" t="inlineStr">
        <is>
          <t>→ 403: operazione non permessa</t>
        </is>
      </c>
    </row>
    <row r="10">
      <c r="A10" s="24" t="inlineStr">
        <is>
          <t>ConflictException</t>
        </is>
      </c>
      <c r="B10" s="24" t="inlineStr">
        <is>
          <t>Eccezione</t>
        </is>
      </c>
      <c r="C10" s="16" t="inlineStr">
        <is>
          <t>→ 409: conflitto (es. doppione, tetto pieno)</t>
        </is>
      </c>
    </row>
    <row r="11">
      <c r="A11" s="24" t="inlineStr">
        <is>
          <t>Qualsiasi altro errore</t>
        </is>
      </c>
      <c r="B11" s="24" t="inlineStr">
        <is>
          <t>Eccezione</t>
        </is>
      </c>
      <c r="C11" s="16" t="inlineStr">
        <is>
          <t>→ 500: errore interno</t>
        </is>
      </c>
    </row>
    <row r="12">
      <c r="A12" s="24" t="inlineStr">
        <is>
          <t>DbExceptionTranslator</t>
        </is>
      </c>
      <c r="B12" s="24" t="inlineStr">
        <is>
          <t>Eccezione</t>
        </is>
      </c>
      <c r="C12" s="16" t="inlineStr">
        <is>
          <t>Riconosce i doppioni rifiutati dal database</t>
        </is>
      </c>
    </row>
    <row r="13">
      <c r="A13" s="24" t="inlineStr">
        <is>
          <t>IdentityErrorDescriberItaliano</t>
        </is>
      </c>
      <c r="B13" s="24" t="inlineStr">
        <is>
          <t>Eccezione</t>
        </is>
      </c>
      <c r="C13" s="16" t="inlineStr">
        <is>
          <t>Messaggi di Identity in italiano</t>
        </is>
      </c>
    </row>
    <row r="14">
      <c r="A14" s="24" t="inlineStr">
        <is>
          <t>AuthenticationExtensions</t>
        </is>
      </c>
      <c r="B14" s="24" t="inlineStr">
        <is>
          <t>Estensione</t>
        </is>
      </c>
      <c r="C14" s="16" t="inlineStr">
        <is>
          <t>Configura Identity, JWT e il controllo del security stamp</t>
        </is>
      </c>
    </row>
    <row r="15">
      <c r="A15" s="24" t="inlineStr">
        <is>
          <t>SwaggerSetup</t>
        </is>
      </c>
      <c r="B15" s="24" t="inlineStr">
        <is>
          <t>Estensione</t>
        </is>
      </c>
      <c r="C15" s="16" t="inlineStr">
        <is>
          <t>Pagina Swagger, solo in sviluppo</t>
        </is>
      </c>
    </row>
    <row r="16">
      <c r="A16" s="24" t="inlineStr">
        <is>
          <t>ApiBehaviorExtensions</t>
        </is>
      </c>
      <c r="B16" s="24" t="inlineStr">
        <is>
          <t>Estensione</t>
        </is>
      </c>
      <c r="C16" s="16" t="inlineStr">
        <is>
          <t>Errori di validazione tutti nello stesso formato</t>
        </is>
      </c>
    </row>
    <row r="17">
      <c r="A17" s="24" t="inlineStr">
        <is>
          <t>ClaimsPrincipal / HttpContext extensions</t>
        </is>
      </c>
      <c r="B17" s="24" t="inlineStr">
        <is>
          <t>Estensione</t>
        </is>
      </c>
      <c r="C17" s="16" t="inlineStr">
        <is>
          <t>Leggono Id utente e IP dalla richiesta</t>
        </is>
      </c>
    </row>
    <row r="18">
      <c r="A18" s="24" t="inlineStr">
        <is>
          <t>TimeSpanToStringConverter</t>
        </is>
      </c>
      <c r="B18" s="24" t="inlineStr">
        <is>
          <t>Estensione</t>
        </is>
      </c>
      <c r="C18" s="16" t="inlineStr">
        <is>
          <t>Orari come «HH:mm» nel JSON</t>
        </is>
      </c>
    </row>
    <row r="19">
      <c r="A19" s="24" t="inlineStr">
        <is>
          <t>Controlli all'avvio</t>
        </is>
      </c>
      <c r="B19" s="24" t="inlineStr">
        <is>
          <t>Configurazione</t>
        </is>
      </c>
      <c r="C19" s="16" t="inlineStr">
        <is>
          <t>L'app non parte senza stringa di connessione o con un segreto JWT corto</t>
        </is>
      </c>
    </row>
    <row r="20">
      <c r="A20" s="24" t="inlineStr">
        <is>
          <t>Database</t>
        </is>
      </c>
      <c r="B20" s="24" t="inlineStr">
        <is>
          <t>Configurazione</t>
        </is>
      </c>
      <c r="C20" s="16" t="inlineStr">
        <is>
          <t>PostgreSQL con 5 nuovi tentativi se la connessione cade</t>
        </is>
      </c>
    </row>
    <row r="21">
      <c r="A21" s="24" t="inlineStr">
        <is>
          <t>Log (Serilog)</t>
        </is>
      </c>
      <c r="B21" s="24" t="inlineStr">
        <is>
          <t>Configurazione</t>
        </is>
      </c>
      <c r="C21" s="16" t="inlineStr">
        <is>
          <t>Log in console, e anche su file in sviluppo</t>
        </is>
      </c>
    </row>
    <row r="22">
      <c r="A22" s="24" t="inlineStr">
        <is>
          <t>Health check /health</t>
        </is>
      </c>
      <c r="B22" s="24" t="inlineStr">
        <is>
          <t>Configurazione</t>
        </is>
      </c>
      <c r="C22" s="16" t="inlineStr">
        <is>
          <t>Controlla anche il database</t>
        </is>
      </c>
    </row>
    <row r="23">
      <c r="A23" s="24" t="inlineStr">
        <is>
          <t>Cache in memoria</t>
        </is>
      </c>
      <c r="B23" s="24" t="inlineStr">
        <is>
          <t>Configurazione</t>
        </is>
      </c>
      <c r="C23" s="16" t="inlineStr">
        <is>
          <t>Zone, tavoli e fasce restano in memoria 30 minuti</t>
        </is>
      </c>
    </row>
    <row r="24">
      <c r="A24" s="24" t="inlineStr">
        <is>
          <t>CORS (FrontendPolicy)</t>
        </is>
      </c>
      <c r="B24" s="24" t="inlineStr">
        <is>
          <t>Configurazione</t>
        </is>
      </c>
      <c r="C24" s="16" t="inlineStr">
        <is>
          <t>Accetta chiamate solo dalle origini in AllowedOrigins</t>
        </is>
      </c>
    </row>
    <row r="25">
      <c r="A25" s="24" t="inlineStr">
        <is>
          <t>Ordine delle richieste</t>
        </is>
      </c>
      <c r="B25" s="24" t="inlineStr">
        <is>
          <t>Configurazione</t>
        </is>
      </c>
      <c r="C25" s="16" t="inlineStr">
        <is>
          <t>Errori → CORS → autenticazione → autorizzazione → limite frequenza</t>
        </is>
      </c>
    </row>
    <row r="26">
      <c r="A26" s="24" t="inlineStr">
        <is>
          <t>RoleSeeder</t>
        </is>
      </c>
      <c r="B26" s="24" t="inlineStr">
        <is>
          <t>Configurazione</t>
        </is>
      </c>
      <c r="C26" s="16" t="inlineStr">
        <is>
          <t>All'avvio crea i ruoli Admin, Staff, Cliente se mancano</t>
        </is>
      </c>
    </row>
    <row r="27">
      <c r="A27" s="24" t="inlineStr">
        <is>
          <t>Migration in sospeso</t>
        </is>
      </c>
      <c r="B27" s="24" t="inlineStr">
        <is>
          <t>Configurazione</t>
        </is>
      </c>
      <c r="C27" s="16" t="inlineStr">
        <is>
          <t>All'avvio avvisa nel log, non le applica da sola</t>
        </is>
      </c>
    </row>
    <row r="28">
      <c r="A28" s="24" t="inlineStr">
        <is>
          <t>--seed-sviluppo</t>
        </is>
      </c>
      <c r="B28" s="24" t="inlineStr">
        <is>
          <t>Riga di comando</t>
        </is>
      </c>
      <c r="C28" s="16" t="inlineStr">
        <is>
          <t>Solo in sviluppo: riempie il database locale con dati di prova</t>
        </is>
      </c>
    </row>
    <row r="29">
      <c r="A29" s="24" t="inlineStr">
        <is>
          <t>--stato-incoerente</t>
        </is>
      </c>
      <c r="B29" s="24" t="inlineStr">
        <is>
          <t>Riga di comando</t>
        </is>
      </c>
      <c r="C29" s="16" t="inlineStr">
        <is>
          <t>Insieme al seed: aggiunge dati volutamente sbagliati per le prove</t>
        </is>
      </c>
    </row>
    <row r="30">
      <c r="A30" s="24" t="inlineStr">
        <is>
          <t>--reimposta-password &lt;email&gt; &lt;password&gt;</t>
        </is>
      </c>
      <c r="B30" s="24" t="inlineStr">
        <is>
          <t>Riga di comando</t>
        </is>
      </c>
      <c r="C30" s="16" t="inlineStr">
        <is>
          <t>Solo in sviluppo: cambia la password di un utente</t>
        </is>
      </c>
    </row>
    <row r="31">
      <c r="A31" s="24" t="inlineStr">
        <is>
          <t>Scripts/quartz_postgres.sql</t>
        </is>
      </c>
      <c r="B31" s="24" t="inlineStr">
        <is>
          <t>Deploy</t>
        </is>
      </c>
      <c r="C31" s="16" t="inlineStr">
        <is>
          <t>Crea le tabelle di Quartz (vanno create a mano)</t>
        </is>
      </c>
    </row>
    <row r="32">
      <c r="A32" s="24" t="inlineStr">
        <is>
          <t>Dockerfile</t>
        </is>
      </c>
      <c r="B32" s="24" t="inlineStr">
        <is>
          <t>Deploy</t>
        </is>
      </c>
      <c r="C32" s="16" t="inlineStr">
        <is>
          <t>Immagine del backend, gira senza utente root</t>
        </is>
      </c>
    </row>
    <row r="33">
      <c r="A33" s="24" t="inlineStr">
        <is>
          <t>ci-backend.yml</t>
        </is>
      </c>
      <c r="B33" s="24" t="inlineStr">
        <is>
          <t>Deploy</t>
        </is>
      </c>
      <c r="C33" s="16" t="inlineStr">
        <is>
          <t>GitHub Actions: build e test a ogni push</t>
        </is>
      </c>
    </row>
    <row r="34">
      <c r="A34" s="24" t="inlineStr">
        <is>
          <t>docker-publish.yml</t>
        </is>
      </c>
      <c r="B34" s="24" t="inlineStr">
        <is>
          <t>Deploy</t>
        </is>
      </c>
      <c r="C34" s="16" t="inlineStr">
        <is>
          <t>Test, poi immagine su Docker Hub → Azure</t>
        </is>
      </c>
    </row>
  </sheetData>
  <mergeCells count="1">
    <mergeCell ref="A1:C1"/>
  </mergeCells>
  <conditionalFormatting sqref="B5:B1000">
    <cfRule type="expression" priority="1" dxfId="3">
      <formula>$B5="Middleware"</formula>
    </cfRule>
    <cfRule type="expression" priority="2" dxfId="5">
      <formula>$B5="Eccezione"</formula>
    </cfRule>
    <cfRule type="expression" priority="3" dxfId="2">
      <formula>$B5="Estensione"</formula>
    </cfRule>
    <cfRule type="expression" priority="4" dxfId="0">
      <formula>$B5="Configurazione"</formula>
    </cfRule>
    <cfRule type="expression" priority="5" dxfId="4">
      <formula>$B5="Riga di comando"</formula>
    </cfRule>
    <cfRule type="expression" priority="6" dxfId="1">
      <formula>$B5="Deploy"</formula>
    </cfRule>
  </conditionalFormatting>
  <hyperlinks>
    <hyperlink ref="C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E5FAD"/>
    <outlinePr summaryBelow="1" summaryRight="1"/>
    <pageSetUpPr/>
  </sheetPr>
  <dimension ref="A1:E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0" customWidth="1" min="2" max="2"/>
    <col width="24" customWidth="1" min="3" max="3"/>
    <col width="10" customWidth="1" min="4" max="4"/>
    <col width="50" customWidth="1" min="5" max="5"/>
  </cols>
  <sheetData>
    <row r="1" ht="34" customHeight="1">
      <c r="A1" s="20" t="inlineStr">
        <is>
          <t>BE · TEST — xUnit + Moq</t>
        </is>
      </c>
      <c r="B1" s="21" t="n"/>
      <c r="C1" s="21" t="n"/>
      <c r="D1" s="21" t="n"/>
      <c r="E1" s="21" t="n"/>
    </row>
    <row r="2" ht="20" customHeight="1">
      <c r="A2" s="3" t="inlineStr">
        <is>
          <t>N. test conta anche i casi delle [Theory]. Si lanciano dalla radice con: dotnet test Gestora.sln. Cartella GestoraWebApi.Tests.</t>
        </is>
      </c>
      <c r="E2" s="22" t="inlineStr">
        <is>
          <t>← Torna alla Dashboard</t>
        </is>
      </c>
    </row>
    <row r="3">
      <c r="A3" s="25" t="inlineStr">
        <is>
          <t>Totale test:</t>
        </is>
      </c>
      <c r="B3" s="26">
        <f>SUM(D5:D1000)</f>
        <v/>
      </c>
    </row>
    <row r="4" ht="24" customHeight="1">
      <c r="A4" s="23" t="inlineStr">
        <is>
          <t>Classe di test</t>
        </is>
      </c>
      <c r="B4" s="23" t="inlineStr">
        <is>
          <t>Cosa prova</t>
        </is>
      </c>
      <c r="C4" s="23" t="inlineStr">
        <is>
          <t>Tecnica</t>
        </is>
      </c>
      <c r="D4" s="23" t="inlineStr">
        <is>
          <t>N. test</t>
        </is>
      </c>
      <c r="E4" s="23" t="inlineStr">
        <is>
          <t>Note</t>
        </is>
      </c>
    </row>
    <row r="5">
      <c r="A5" s="24" t="inlineStr">
        <is>
          <t>PrenotazioniServiceTests</t>
        </is>
      </c>
      <c r="B5" s="16" t="inlineStr">
        <is>
          <t>PrenotazioniService</t>
        </is>
      </c>
      <c r="C5" s="24" t="inlineStr">
        <is>
          <t>Database finto + Moq</t>
        </is>
      </c>
      <c r="D5" s="24" t="n">
        <v>101</v>
      </c>
      <c r="E5" s="16" t="inlineStr">
        <is>
          <t>Il blocco più grande: tetto, stati, regole, job</t>
        </is>
      </c>
    </row>
    <row r="6">
      <c r="A6" s="24" t="inlineStr">
        <is>
          <t>DashboardServiceTests</t>
        </is>
      </c>
      <c r="B6" s="16" t="inlineStr">
        <is>
          <t>DashboardService</t>
        </is>
      </c>
      <c r="C6" s="24" t="inlineStr">
        <is>
          <t>Database finto</t>
        </is>
      </c>
      <c r="D6" s="24" t="n">
        <v>25</v>
      </c>
      <c r="E6" s="16" t="inlineStr"/>
    </row>
    <row r="7">
      <c r="A7" s="24" t="inlineStr">
        <is>
          <t>FasciaOrariaServiceTests</t>
        </is>
      </c>
      <c r="B7" s="16" t="inlineStr">
        <is>
          <t>FasciaOrariaService</t>
        </is>
      </c>
      <c r="C7" s="24" t="inlineStr">
        <is>
          <t>Moq</t>
        </is>
      </c>
      <c r="D7" s="24" t="n">
        <v>16</v>
      </c>
      <c r="E7" s="16" t="inlineStr">
        <is>
          <t>Accavallamenti e blocco degli orari</t>
        </is>
      </c>
    </row>
    <row r="8">
      <c r="A8" s="24" t="inlineStr">
        <is>
          <t>AssegnazioneTavoliTests</t>
        </is>
      </c>
      <c r="B8" s="16" t="inlineStr">
        <is>
          <t>AssegnazioneTavoli</t>
        </is>
      </c>
      <c r="C8" s="24" t="inlineStr">
        <is>
          <t>Puro (senza dipendenze)</t>
        </is>
      </c>
      <c r="D8" s="24" t="n">
        <v>15</v>
      </c>
      <c r="E8" s="16" t="inlineStr">
        <is>
          <t>Scelta dei tavoli e bonus testate</t>
        </is>
      </c>
    </row>
    <row r="9">
      <c r="A9" s="24" t="inlineStr">
        <is>
          <t>PostazioneAssignmentServiceTests</t>
        </is>
      </c>
      <c r="B9" s="16" t="inlineStr">
        <is>
          <t>PostazioneAssignmentService</t>
        </is>
      </c>
      <c r="C9" s="24" t="inlineStr">
        <is>
          <t>Moq</t>
        </is>
      </c>
      <c r="D9" s="24" t="n">
        <v>13</v>
      </c>
      <c r="E9" s="16" t="inlineStr"/>
    </row>
    <row r="10">
      <c r="A10" s="24" t="inlineStr">
        <is>
          <t>IndirizzoClientTests</t>
        </is>
      </c>
      <c r="B10" s="16" t="inlineStr">
        <is>
          <t>IndirizzoClient</t>
        </is>
      </c>
      <c r="C10" s="24" t="inlineStr">
        <is>
          <t>Puro</t>
        </is>
      </c>
      <c r="D10" s="24" t="n">
        <v>13</v>
      </c>
      <c r="E10" s="16" t="inlineStr">
        <is>
          <t>Lettura dell'IP da X-Forwarded-For</t>
        </is>
      </c>
    </row>
    <row r="11">
      <c r="A11" s="24" t="inlineStr">
        <is>
          <t>DisponibilitaServiceTests</t>
        </is>
      </c>
      <c r="B11" s="16" t="inlineStr">
        <is>
          <t>DisponibilitaService</t>
        </is>
      </c>
      <c r="C11" s="24" t="inlineStr">
        <is>
          <t>Moq</t>
        </is>
      </c>
      <c r="D11" s="24" t="n">
        <v>12</v>
      </c>
      <c r="E11" s="16" t="inlineStr"/>
    </row>
    <row r="12">
      <c r="A12" s="24" t="inlineStr">
        <is>
          <t>PostazioneServiceTests</t>
        </is>
      </c>
      <c r="B12" s="16" t="inlineStr">
        <is>
          <t>PostazioneService</t>
        </is>
      </c>
      <c r="C12" s="24" t="inlineStr">
        <is>
          <t>Moq</t>
        </is>
      </c>
      <c r="D12" s="24" t="n">
        <v>12</v>
      </c>
      <c r="E12" s="16" t="inlineStr"/>
    </row>
    <row r="13">
      <c r="A13" s="24" t="inlineStr">
        <is>
          <t>LogActivityServiceTests</t>
        </is>
      </c>
      <c r="B13" s="16" t="inlineStr">
        <is>
          <t>LogActivityService</t>
        </is>
      </c>
      <c r="C13" s="24" t="inlineStr">
        <is>
          <t>Database finto</t>
        </is>
      </c>
      <c r="D13" s="24" t="n">
        <v>10</v>
      </c>
      <c r="E13" s="16" t="inlineStr"/>
    </row>
    <row r="14">
      <c r="A14" s="24" t="inlineStr">
        <is>
          <t>PrenotazioniQueryParamsTests</t>
        </is>
      </c>
      <c r="B14" s="16" t="inlineStr">
        <is>
          <t>PrenotazioniQueryParams</t>
        </is>
      </c>
      <c r="C14" s="24" t="inlineStr">
        <is>
          <t>Puro</t>
        </is>
      </c>
      <c r="D14" s="24" t="n">
        <v>9</v>
      </c>
      <c r="E14" s="16" t="inlineStr">
        <is>
          <t>Pagine e filtri</t>
        </is>
      </c>
    </row>
    <row r="15">
      <c r="A15" s="24" t="inlineStr">
        <is>
          <t>CheckDisponibilitaDTOValidatorTests</t>
        </is>
      </c>
      <c r="B15" s="16" t="inlineStr">
        <is>
          <t>CheckDisponibilitaDTOValidator</t>
        </is>
      </c>
      <c r="C15" s="24" t="inlineStr">
        <is>
          <t>Validatore</t>
        </is>
      </c>
      <c r="D15" s="24" t="n">
        <v>11</v>
      </c>
      <c r="E15" s="16" t="inlineStr"/>
    </row>
    <row r="16">
      <c r="A16" s="24" t="inlineStr">
        <is>
          <t>PrenotazioneCreateDTOValidatorTests</t>
        </is>
      </c>
      <c r="B16" s="16" t="inlineStr">
        <is>
          <t>PrenotazioneCreateDTOValidator</t>
        </is>
      </c>
      <c r="C16" s="24" t="inlineStr">
        <is>
          <t>Validatore</t>
        </is>
      </c>
      <c r="D16" s="24" t="n">
        <v>12</v>
      </c>
      <c r="E16" s="16" t="inlineStr"/>
    </row>
    <row r="17">
      <c r="A17" s="24" t="inlineStr">
        <is>
          <t>RegisterDTOValidatorTests</t>
        </is>
      </c>
      <c r="B17" s="16" t="inlineStr">
        <is>
          <t>RegisterDTO e UpdateUserDTO</t>
        </is>
      </c>
      <c r="C17" s="24" t="inlineStr">
        <is>
          <t>Validatore</t>
        </is>
      </c>
      <c r="D17" s="24" t="n">
        <v>7</v>
      </c>
      <c r="E17" s="16" t="inlineStr">
        <is>
          <t>Nomi con spazi, apostrofi, accenti</t>
        </is>
      </c>
    </row>
    <row r="18">
      <c r="A18" s="24" t="inlineStr">
        <is>
          <t>FasciaOrariaDTOValidatorTests</t>
        </is>
      </c>
      <c r="B18" s="16" t="inlineStr">
        <is>
          <t>FasciaOrariaDTOValidator</t>
        </is>
      </c>
      <c r="C18" s="24" t="inlineStr">
        <is>
          <t>Validatore</t>
        </is>
      </c>
      <c r="D18" s="24" t="n">
        <v>5</v>
      </c>
      <c r="E18" s="16" t="inlineStr">
        <is>
          <t>Fasce oltre la mezzanotte</t>
        </is>
      </c>
    </row>
    <row r="19">
      <c r="A19" s="24" t="inlineStr">
        <is>
          <t>ZonaServiceTests</t>
        </is>
      </c>
      <c r="B19" s="16" t="inlineStr">
        <is>
          <t>ZonaService</t>
        </is>
      </c>
      <c r="C19" s="24" t="inlineStr">
        <is>
          <t>Moq</t>
        </is>
      </c>
      <c r="D19" s="24" t="n">
        <v>8</v>
      </c>
      <c r="E19" s="16" t="inlineStr"/>
    </row>
    <row r="20">
      <c r="A20" s="24" t="inlineStr">
        <is>
          <t>DbExceptionTranslatorTests</t>
        </is>
      </c>
      <c r="B20" s="16" t="inlineStr">
        <is>
          <t>DbExceptionTranslator</t>
        </is>
      </c>
      <c r="C20" s="24" t="inlineStr">
        <is>
          <t>Puro</t>
        </is>
      </c>
      <c r="D20" s="24" t="n">
        <v>6</v>
      </c>
      <c r="E20" s="16" t="inlineStr"/>
    </row>
    <row r="21">
      <c r="A21" s="24" t="inlineStr">
        <is>
          <t>JobsNotturniTests</t>
        </is>
      </c>
      <c r="B21" s="16" t="inlineStr">
        <is>
          <t>PrenotazioniJob, PrenotazioniCleanupJob</t>
        </is>
      </c>
      <c r="C21" s="24" t="inlineStr">
        <is>
          <t>Moq</t>
        </is>
      </c>
      <c r="D21" s="24" t="n">
        <v>4</v>
      </c>
      <c r="E21" s="16" t="inlineStr"/>
    </row>
    <row r="22">
      <c r="A22" s="24" t="inlineStr">
        <is>
          <t>GestoraContextModelTests</t>
        </is>
      </c>
      <c r="B22" s="16" t="inlineStr">
        <is>
          <t>GestoraContext</t>
        </is>
      </c>
      <c r="C22" s="24" t="inlineStr">
        <is>
          <t>Database finto</t>
        </is>
      </c>
      <c r="D22" s="24" t="n">
        <v>3</v>
      </c>
      <c r="E22" s="16" t="inlineStr">
        <is>
          <t>Configurazione delle tabelle</t>
        </is>
      </c>
    </row>
    <row r="23">
      <c r="A23" s="24" t="inlineStr">
        <is>
          <t>PrenotazioniRepositoryTests</t>
        </is>
      </c>
      <c r="B23" s="16" t="inlineStr">
        <is>
          <t>PrenotazioniRepository</t>
        </is>
      </c>
      <c r="C23" s="24" t="inlineStr">
        <is>
          <t>Database finto</t>
        </is>
      </c>
      <c r="D23" s="24" t="n">
        <v>3</v>
      </c>
      <c r="E23" s="16" t="inlineStr"/>
    </row>
    <row r="24">
      <c r="A24" s="24" t="inlineStr">
        <is>
          <t>PrenotazioneMappingProfileTests</t>
        </is>
      </c>
      <c r="B24" s="16" t="inlineStr">
        <is>
          <t>PrenotazioneMappingProfile</t>
        </is>
      </c>
      <c r="C24" s="24" t="inlineStr">
        <is>
          <t>AutoMapper vero</t>
        </is>
      </c>
      <c r="D24" s="24" t="n">
        <v>3</v>
      </c>
      <c r="E24" s="16" t="inlineStr"/>
    </row>
    <row r="25">
      <c r="A25" s="24" t="inlineStr">
        <is>
          <t>PostazioneMappingProfileTests</t>
        </is>
      </c>
      <c r="B25" s="16" t="inlineStr">
        <is>
          <t>PostazioneMappingProfile</t>
        </is>
      </c>
      <c r="C25" s="24" t="inlineStr">
        <is>
          <t>AutoMapper vero</t>
        </is>
      </c>
      <c r="D25" s="24" t="n">
        <v>2</v>
      </c>
      <c r="E25" s="16" t="inlineStr"/>
    </row>
    <row r="26">
      <c r="A26" s="24" t="inlineStr">
        <is>
          <t>ErroriIdentityTests</t>
        </is>
      </c>
      <c r="B26" s="16" t="inlineStr">
        <is>
          <t>ErroriIdentity</t>
        </is>
      </c>
      <c r="C26" s="24" t="inlineStr">
        <is>
          <t>Puro</t>
        </is>
      </c>
      <c r="D26" s="24" t="n">
        <v>2</v>
      </c>
      <c r="E26" s="16" t="inlineStr"/>
    </row>
  </sheetData>
  <mergeCells count="1">
    <mergeCell ref="A1:E1"/>
  </mergeCells>
  <conditionalFormatting sqref="C5:C1000">
    <cfRule type="expression" priority="1" dxfId="2">
      <formula>$C5="Moq"</formula>
    </cfRule>
    <cfRule type="expression" priority="2" dxfId="3">
      <formula>$C5="Database finto"</formula>
    </cfRule>
    <cfRule type="expression" priority="3" dxfId="0">
      <formula>$C5="Puro"</formula>
    </cfRule>
    <cfRule type="expression" priority="4" dxfId="0">
      <formula>$C5="Puro (senza dipendenze)"</formula>
    </cfRule>
    <cfRule type="expression" priority="5" dxfId="4">
      <formula>$C5="Validatore"</formula>
    </cfRule>
    <cfRule type="expression" priority="6" dxfId="1">
      <formula>$C5="AutoMapper vero"</formula>
    </cfRule>
    <cfRule type="expression" priority="7" dxfId="3">
      <formula>$C5="Database finto + Moq"</formula>
    </cfRule>
  </conditionalFormatting>
  <hyperlinks>
    <hyperlink ref="E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2E5FAD"/>
    <outlinePr summaryBelow="1" summaryRight="1"/>
    <pageSetUpPr/>
  </sheetPr>
  <dimension ref="A1:C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90" customWidth="1" min="3" max="3"/>
  </cols>
  <sheetData>
    <row r="1" ht="34" customHeight="1">
      <c r="A1" s="20" t="inlineStr">
        <is>
          <t>BE · AUTENTICAZIONE E SICUREZZA</t>
        </is>
      </c>
      <c r="B1" s="21" t="n"/>
      <c r="C1" s="21" t="n"/>
    </row>
    <row r="2" ht="20" customHeight="1">
      <c r="A2" s="3" t="inlineStr">
        <is>
          <t>Mai scrivere qui valori segreti: solo i nomi delle chiavi. Procedura User Secrets in RUNBOOK.md §7.</t>
        </is>
      </c>
      <c r="C2" s="22" t="inlineStr">
        <is>
          <t>← Torna alla Dashboard</t>
        </is>
      </c>
    </row>
    <row r="4" ht="24" customHeight="1">
      <c r="A4" s="23" t="inlineStr">
        <is>
          <t>Sezione</t>
        </is>
      </c>
      <c r="B4" s="23" t="inlineStr">
        <is>
          <t>Voce</t>
        </is>
      </c>
      <c r="C4" s="23" t="inlineStr">
        <is>
          <t>Come funziona</t>
        </is>
      </c>
    </row>
    <row r="5">
      <c r="A5" s="24" t="inlineStr">
        <is>
          <t>JWT</t>
        </is>
      </c>
      <c r="B5" s="24" t="inlineStr">
        <is>
          <t>Chiavi di configurazione</t>
        </is>
      </c>
      <c r="C5" s="16" t="inlineStr">
        <is>
          <t>JwtSettings: Secret, Issuer, Audience, ExpiryMinutes</t>
        </is>
      </c>
    </row>
    <row r="6">
      <c r="A6" s="24" t="inlineStr">
        <is>
          <t>JWT</t>
        </is>
      </c>
      <c r="B6" s="24" t="inlineStr">
        <is>
          <t>Dove sta il segreto</t>
        </is>
      </c>
      <c r="C6" s="16" t="inlineStr">
        <is>
          <t>Locale: User Secrets. Produzione: variabili d'ambiente di Azure. Mai nel codice</t>
        </is>
      </c>
    </row>
    <row r="7">
      <c r="A7" s="24" t="inlineStr">
        <is>
          <t>JWT</t>
        </is>
      </c>
      <c r="B7" s="24" t="inlineStr">
        <is>
          <t>Lunghezza minima</t>
        </is>
      </c>
      <c r="C7" s="16" t="inlineStr">
        <is>
          <t>Almeno 32 byte, altrimenti l'app non parte</t>
        </is>
      </c>
    </row>
    <row r="8">
      <c r="A8" s="24" t="inlineStr">
        <is>
          <t>JWT</t>
        </is>
      </c>
      <c r="B8" s="24" t="inlineStr">
        <is>
          <t>Durata</t>
        </is>
      </c>
      <c r="C8" s="16" t="inlineStr">
        <is>
          <t>60 minuti, senza margine di tolleranza</t>
        </is>
      </c>
    </row>
    <row r="9">
      <c r="A9" s="24" t="inlineStr">
        <is>
          <t>JWT</t>
        </is>
      </c>
      <c r="B9" s="24" t="inlineStr">
        <is>
          <t>Contenuto</t>
        </is>
      </c>
      <c r="C9" s="16" t="inlineStr">
        <is>
          <t>Id utente, email, ruoli, security stamp</t>
        </is>
      </c>
    </row>
    <row r="10">
      <c r="A10" s="24" t="inlineStr">
        <is>
          <t>JWT</t>
        </is>
      </c>
      <c r="B10" s="24" t="inlineStr">
        <is>
          <t>Controlli</t>
        </is>
      </c>
      <c r="C10" s="16" t="inlineStr">
        <is>
          <t>Chi l'ha emesso, per chi, scadenza e firma</t>
        </is>
      </c>
    </row>
    <row r="11">
      <c r="A11" s="24" t="inlineStr">
        <is>
          <t>Ruoli</t>
        </is>
      </c>
      <c r="B11" s="24" t="inlineStr">
        <is>
          <t>Admin</t>
        </is>
      </c>
      <c r="C11" s="16" t="inlineStr">
        <is>
          <t>Configura sala e fasce, gestisce utenti, forza i job</t>
        </is>
      </c>
    </row>
    <row r="12">
      <c r="A12" s="24" t="inlineStr">
        <is>
          <t>Ruoli</t>
        </is>
      </c>
      <c r="B12" s="24" t="inlineStr">
        <is>
          <t>Staff</t>
        </is>
      </c>
      <c r="C12" s="16" t="inlineStr">
        <is>
          <t>Prenotazioni e dashboard</t>
        </is>
      </c>
    </row>
    <row r="13">
      <c r="A13" s="24" t="inlineStr">
        <is>
          <t>Ruoli</t>
        </is>
      </c>
      <c r="B13" s="24" t="inlineStr">
        <is>
          <t>Cliente</t>
        </is>
      </c>
      <c r="C13" s="16" t="inlineStr">
        <is>
          <t>Solo le proprie prenotazioni</t>
        </is>
      </c>
    </row>
    <row r="14">
      <c r="A14" s="24" t="inlineStr">
        <is>
          <t>Ruoli</t>
        </is>
      </c>
      <c r="B14" s="24" t="inlineStr">
        <is>
          <t>Più ruoli insieme</t>
        </is>
      </c>
      <c r="C14" s="16" t="inlineStr">
        <is>
          <t>Normale, non è un errore</t>
        </is>
      </c>
    </row>
    <row r="15">
      <c r="A15" s="24" t="inlineStr">
        <is>
          <t>Ruoli</t>
        </is>
      </c>
      <c r="B15" s="24" t="inlineStr">
        <is>
          <t>Admin protetto</t>
        </is>
      </c>
      <c r="C15" s="16" t="inlineStr">
        <is>
          <t>Un Admin non può togliersi il ruolo Admin: ne resta sempre almeno uno</t>
        </is>
      </c>
    </row>
    <row r="16">
      <c r="A16" s="24" t="inlineStr">
        <is>
          <t>Account</t>
        </is>
      </c>
      <c r="B16" s="24" t="inlineStr">
        <is>
          <t>Password</t>
        </is>
      </c>
      <c r="C16" s="16" t="inlineStr">
        <is>
          <t>Almeno 8 caratteri con maiuscola, numero e simbolo</t>
        </is>
      </c>
    </row>
    <row r="17">
      <c r="A17" s="24" t="inlineStr">
        <is>
          <t>Account</t>
        </is>
      </c>
      <c r="B17" s="24" t="inlineStr">
        <is>
          <t>Email unica</t>
        </is>
      </c>
      <c r="C17" s="16" t="inlineStr">
        <is>
          <t>Due utenti non possono avere la stessa email</t>
        </is>
      </c>
    </row>
    <row r="18">
      <c r="A18" s="24" t="inlineStr">
        <is>
          <t>Account</t>
        </is>
      </c>
      <c r="B18" s="24" t="inlineStr">
        <is>
          <t>Nome utente</t>
        </is>
      </c>
      <c r="C18" s="16" t="inlineStr">
        <is>
          <t>Ammessi spazi, apostrofi e lettere accentate</t>
        </is>
      </c>
    </row>
    <row r="19">
      <c r="A19" s="24" t="inlineStr">
        <is>
          <t>Account</t>
        </is>
      </c>
      <c r="B19" s="24" t="inlineStr">
        <is>
          <t>Blocco</t>
        </is>
      </c>
      <c r="C19" s="16" t="inlineStr">
        <is>
          <t>5 tentativi sbagliati → account bloccato 15 minuti</t>
        </is>
      </c>
    </row>
    <row r="20">
      <c r="A20" s="24" t="inlineStr">
        <is>
          <t>Account</t>
        </is>
      </c>
      <c r="B20" s="24" t="inlineStr">
        <is>
          <t>Registrazione pubblica</t>
        </is>
      </c>
      <c r="C20" s="16" t="inlineStr">
        <is>
          <t>Crea solo utenti Cliente</t>
        </is>
      </c>
    </row>
    <row r="21">
      <c r="A21" s="24" t="inlineStr">
        <is>
          <t>Account</t>
        </is>
      </c>
      <c r="B21" s="24" t="inlineStr">
        <is>
          <t>Utente con prenotazioni</t>
        </is>
      </c>
      <c r="C21" s="16" t="inlineStr">
        <is>
          <t>Non si elimina: lo storico resta</t>
        </is>
      </c>
    </row>
    <row r="22">
      <c r="A22" s="24" t="inlineStr">
        <is>
          <t>Sessione</t>
        </is>
      </c>
      <c r="B22" s="24" t="inlineStr">
        <is>
          <t>Security stamp</t>
        </is>
      </c>
      <c r="C22" s="16" t="inlineStr">
        <is>
          <t>Cambio ruolo, email, password o eliminazione invalidano subito i token</t>
        </is>
      </c>
    </row>
    <row r="23">
      <c r="A23" s="24" t="inlineStr">
        <is>
          <t>Primo avvio</t>
        </is>
      </c>
      <c r="B23" s="24" t="inlineStr">
        <is>
          <t>GET /api/Setup/stato</t>
        </is>
      </c>
      <c r="C23" s="16" t="inlineStr">
        <is>
          <t>Dice se esiste già un Admin</t>
        </is>
      </c>
    </row>
    <row r="24">
      <c r="A24" s="24" t="inlineStr">
        <is>
          <t>Primo avvio</t>
        </is>
      </c>
      <c r="B24" s="24" t="inlineStr">
        <is>
          <t>POST /api/Setup/admin</t>
        </is>
      </c>
      <c r="C24" s="16" t="inlineStr">
        <is>
          <t>Crea il primo Admin, una richiesta alla volta, poi si chiude per sempre</t>
        </is>
      </c>
    </row>
    <row r="25">
      <c r="A25" s="24" t="inlineStr">
        <is>
          <t>Protezioni</t>
        </is>
      </c>
      <c r="B25" s="24" t="inlineStr">
        <is>
          <t>Limite di frequenza</t>
        </is>
      </c>
      <c r="C25" s="16" t="inlineStr">
        <is>
          <t>Login e setup: 5 richieste al minuto per IP, poi 429</t>
        </is>
      </c>
    </row>
    <row r="26">
      <c r="A26" s="24" t="inlineStr">
        <is>
          <t>Protezioni</t>
        </is>
      </c>
      <c r="B26" s="24" t="inlineStr">
        <is>
          <t>CORS</t>
        </is>
      </c>
      <c r="C26" s="16" t="inlineStr">
        <is>
          <t>Solo il frontend nelle origini ammesse può chiamare l'API</t>
        </is>
      </c>
    </row>
    <row r="27">
      <c r="A27" s="24" t="inlineStr">
        <is>
          <t>Protezioni</t>
        </is>
      </c>
      <c r="B27" s="24" t="inlineStr">
        <is>
          <t>Registro azioni</t>
        </is>
      </c>
      <c r="C27" s="16" t="inlineStr">
        <is>
          <t>Le azioni importanti finiscono in LogActivities con utente e IP</t>
        </is>
      </c>
    </row>
    <row r="28">
      <c r="A28" s="24" t="inlineStr">
        <is>
          <t>Protezioni</t>
        </is>
      </c>
      <c r="B28" s="24" t="inlineStr">
        <is>
          <t>Container</t>
        </is>
      </c>
      <c r="C28" s="16" t="inlineStr">
        <is>
          <t>Docker gira senza utente root</t>
        </is>
      </c>
    </row>
    <row r="29">
      <c r="A29" s="24" t="inlineStr">
        <is>
          <t>Protezioni</t>
        </is>
      </c>
      <c r="B29" s="24" t="inlineStr">
        <is>
          <t>Libreria con avviso</t>
        </is>
      </c>
      <c r="C29" s="16" t="inlineStr">
        <is>
          <t>AutoMapper 12.0.1: avviso accettato, non si aggiorna (SEC-001)</t>
        </is>
      </c>
    </row>
  </sheetData>
  <mergeCells count="1">
    <mergeCell ref="A1:C1"/>
  </mergeCells>
  <conditionalFormatting sqref="A5:A1000">
    <cfRule type="expression" priority="1" dxfId="2">
      <formula>$A5="JWT"</formula>
    </cfRule>
    <cfRule type="expression" priority="2" dxfId="3">
      <formula>$A5="Ruoli"</formula>
    </cfRule>
    <cfRule type="expression" priority="3" dxfId="0">
      <formula>$A5="Account"</formula>
    </cfRule>
    <cfRule type="expression" priority="4" dxfId="4">
      <formula>$A5="Sessione"</formula>
    </cfRule>
    <cfRule type="expression" priority="5" dxfId="1">
      <formula>$A5="Primo avvio"</formula>
    </cfRule>
    <cfRule type="expression" priority="6" dxfId="5">
      <formula>$A5="Protezioni"</formula>
    </cfRule>
  </conditionalFormatting>
  <hyperlinks>
    <hyperlink ref="C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2E5FAD"/>
    <outlinePr summaryBelow="1" summaryRight="1"/>
    <pageSetUpPr/>
  </sheetPr>
  <dimension ref="A1:F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60" customWidth="1" min="4" max="4"/>
    <col width="36" customWidth="1" min="5" max="5"/>
    <col width="46" customWidth="1" min="6" max="6"/>
  </cols>
  <sheetData>
    <row r="1" ht="34" customHeight="1">
      <c r="A1" s="20" t="inlineStr">
        <is>
          <t>BE · JOB NOTTURNI — QUARTZ.NET</t>
        </is>
      </c>
      <c r="B1" s="21" t="n"/>
      <c r="C1" s="21" t="n"/>
      <c r="D1" s="21" t="n"/>
      <c r="E1" s="21" t="n"/>
      <c r="F1" s="21" t="n"/>
    </row>
    <row r="2" ht="20" customHeight="1">
      <c r="A2" s="3" t="inlineStr">
        <is>
          <t>Ora di Roma, mai due esecuzioni insieme, stato salvato nelle tabelle QRTZ_. Su Azure F1 partono al primo accesso del giorno (serve «Always On»).</t>
        </is>
      </c>
      <c r="F2" s="22" t="inlineStr">
        <is>
          <t>← Torna alla Dashboard</t>
        </is>
      </c>
    </row>
    <row r="4" ht="24" customHeight="1">
      <c r="A4" s="23" t="inlineStr">
        <is>
          <t>Job</t>
        </is>
      </c>
      <c r="B4" s="23" t="inlineStr">
        <is>
          <t>Quando</t>
        </is>
      </c>
      <c r="C4" s="23" t="inlineStr">
        <is>
          <t>Cron</t>
        </is>
      </c>
      <c r="D4" s="23" t="inlineStr">
        <is>
          <t>Cosa fa</t>
        </is>
      </c>
      <c r="E4" s="23" t="inlineStr">
        <is>
          <t>Metodo chiamato</t>
        </is>
      </c>
      <c r="F4" s="23" t="inlineStr">
        <is>
          <t>Come forzarlo (Admin)</t>
        </is>
      </c>
    </row>
    <row r="5">
      <c r="A5" s="24" t="inlineStr">
        <is>
          <t>PrenotazioniJob</t>
        </is>
      </c>
      <c r="B5" s="24" t="inlineStr">
        <is>
          <t>Ogni notte alle 02:00</t>
        </is>
      </c>
      <c r="C5" s="24" t="inlineStr">
        <is>
          <t>0 00 2 * * ?</t>
        </is>
      </c>
      <c r="D5" s="16" t="inlineStr">
        <is>
          <t>Chiude le prenotazioni in corso finite e segna «Non presentata» chi non è arrivato</t>
        </is>
      </c>
      <c r="E5" s="24" t="inlineStr">
        <is>
          <t>AutomaticCompletPrenotazioniAsync</t>
        </is>
      </c>
      <c r="F5" s="24" t="inlineStr">
        <is>
          <t>POST /api/Jobs/trigger/PrenotazioniJob</t>
        </is>
      </c>
    </row>
    <row r="6">
      <c r="A6" s="24" t="inlineStr">
        <is>
          <t>PrenotazioniCleanupJob</t>
        </is>
      </c>
      <c r="B6" s="24" t="inlineStr">
        <is>
          <t>Ogni notte alle 02:30</t>
        </is>
      </c>
      <c r="C6" s="24" t="inlineStr">
        <is>
          <t>0 30 2 * * ?</t>
        </is>
      </c>
      <c r="D6" s="16" t="inlineStr">
        <is>
          <t>Elimina le prenotazioni chiuse più vecchie di 6 mesi</t>
        </is>
      </c>
      <c r="E6" s="24" t="inlineStr">
        <is>
          <t>AutomaticDeletePrenotazioniAsync</t>
        </is>
      </c>
      <c r="F6" s="24" t="inlineStr">
        <is>
          <t>POST /api/Jobs/trigger/PrenotazioniCleanupJob</t>
        </is>
      </c>
    </row>
  </sheetData>
  <mergeCells count="1">
    <mergeCell ref="A1:F1"/>
  </mergeCells>
  <hyperlinks>
    <hyperlink ref="F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5FAD"/>
    <outlinePr summaryBelow="1" summaryRight="1"/>
    <pageSetUpPr/>
  </sheetPr>
  <dimension ref="A1:G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8" customWidth="1" min="2" max="2"/>
    <col width="12" customWidth="1" min="3" max="3"/>
    <col width="62" customWidth="1" min="4" max="4"/>
    <col width="9" customWidth="1" min="5" max="5"/>
    <col width="12" customWidth="1" min="6" max="6"/>
    <col width="46" customWidth="1" min="7" max="7"/>
  </cols>
  <sheetData>
    <row r="1" ht="34" customHeight="1">
      <c r="A1" s="20" t="inlineStr">
        <is>
          <t>BE · MIGRATION — MODIFICHE AL DATABASE</t>
        </is>
      </c>
      <c r="B1" s="21" t="n"/>
      <c r="C1" s="21" t="n"/>
      <c r="D1" s="21" t="n"/>
      <c r="E1" s="21" t="n"/>
      <c r="F1" s="21" t="n"/>
      <c r="G1" s="21" t="n"/>
    </row>
    <row r="2" ht="20" customHeight="1">
      <c r="A2" s="3" t="inlineStr">
        <is>
          <t>Si applicano A MANO, dall'alto in basso (RUNBOOK.md). Le tabelle QRTZ_ di Quartz non sono in nessuna migration: dopo un reset va eseguito Scripts/quartz_postgres.sql.</t>
        </is>
      </c>
      <c r="G2" s="22" t="inlineStr">
        <is>
          <t>← Torna alla Dashboard</t>
        </is>
      </c>
    </row>
    <row r="4" ht="24" customHeight="1">
      <c r="A4" s="23" t="inlineStr">
        <is>
          <t>N.</t>
        </is>
      </c>
      <c r="B4" s="23" t="inlineStr">
        <is>
          <t>Nome migration</t>
        </is>
      </c>
      <c r="C4" s="23" t="inlineStr">
        <is>
          <t>Data</t>
        </is>
      </c>
      <c r="D4" s="23" t="inlineStr">
        <is>
          <t>Cosa cambia</t>
        </is>
      </c>
      <c r="E4" s="23" t="inlineStr">
        <is>
          <t>Locale</t>
        </is>
      </c>
      <c r="F4" s="23" t="inlineStr">
        <is>
          <t>Produzione</t>
        </is>
      </c>
      <c r="G4" s="23" t="inlineStr">
        <is>
          <t>Note</t>
        </is>
      </c>
    </row>
    <row r="5">
      <c r="A5" s="24" t="n">
        <v>1</v>
      </c>
      <c r="B5" s="24" t="inlineStr">
        <is>
          <t>20251120171458_Initial</t>
        </is>
      </c>
      <c r="C5" s="27" t="n">
        <v>45981</v>
      </c>
      <c r="D5" s="16" t="inlineStr">
        <is>
          <t>Crea tutte le tabelle e quelle di Identity (Utenti, Ruoli)</t>
        </is>
      </c>
      <c r="E5" s="24" t="inlineStr">
        <is>
          <t>Sì</t>
        </is>
      </c>
      <c r="F5" s="24" t="inlineStr">
        <is>
          <t>Sì</t>
        </is>
      </c>
      <c r="G5" s="16" t="inlineStr"/>
    </row>
    <row r="6">
      <c r="A6" s="24" t="n">
        <v>2</v>
      </c>
      <c r="B6" s="24" t="inlineStr">
        <is>
          <t>20260311090312_StatoAsEnum</t>
        </is>
      </c>
      <c r="C6" s="27" t="n">
        <v>46092</v>
      </c>
      <c r="D6" s="16" t="inlineStr">
        <is>
          <t>Nessuna modifica: vuota di proposito</t>
        </is>
      </c>
      <c r="E6" s="24" t="inlineStr">
        <is>
          <t>Sì</t>
        </is>
      </c>
      <c r="F6" s="24" t="inlineStr">
        <is>
          <t>Sì</t>
        </is>
      </c>
      <c r="G6" s="16" t="inlineStr">
        <is>
          <t>Non è un errore</t>
        </is>
      </c>
    </row>
    <row r="7">
      <c r="A7" s="24" t="n">
        <v>3</v>
      </c>
      <c r="B7" s="24" t="inlineStr">
        <is>
          <t>20260825141722_FilterIndicePrenotazioneEscludeAnnullata</t>
        </is>
      </c>
      <c r="C7" s="27" t="n">
        <v>46259</v>
      </c>
      <c r="D7" s="16" t="inlineStr">
        <is>
          <t>Indice sulle prenotazioni che ignora le annullate</t>
        </is>
      </c>
      <c r="E7" s="24" t="inlineStr">
        <is>
          <t>Sì</t>
        </is>
      </c>
      <c r="F7" s="24" t="inlineStr">
        <is>
          <t>Sì</t>
        </is>
      </c>
      <c r="G7" s="16" t="inlineStr"/>
    </row>
    <row r="8">
      <c r="A8" s="24" t="n">
        <v>4</v>
      </c>
      <c r="B8" s="24" t="inlineStr">
        <is>
          <t>20260826133929_RimuoviVincoloIndiceAggiungiNomeCliente</t>
        </is>
      </c>
      <c r="C8" s="27" t="n">
        <v>46260</v>
      </c>
      <c r="D8" s="16" t="inlineStr">
        <is>
          <t>Aggiunge NomeCliente, toglie il vincolo una-al-giorno dal database</t>
        </is>
      </c>
      <c r="E8" s="24" t="inlineStr">
        <is>
          <t>Sì</t>
        </is>
      </c>
      <c r="F8" s="24" t="inlineStr">
        <is>
          <t>Sì</t>
        </is>
      </c>
      <c r="G8" s="16" t="inlineStr">
        <is>
          <t>Il vincolo resta nell'applicazione (decisione 10)</t>
        </is>
      </c>
    </row>
    <row r="9">
      <c r="A9" s="24" t="n">
        <v>5</v>
      </c>
      <c r="B9" s="24" t="inlineStr">
        <is>
          <t>20260831094313_RinominaMaxPrenotazioniInMaxCoperti</t>
        </is>
      </c>
      <c r="C9" s="27" t="n">
        <v>46265</v>
      </c>
      <c r="D9" s="16" t="inlineStr">
        <is>
          <t>Rinomina MaxPrenotazioni in MaxCoperti</t>
        </is>
      </c>
      <c r="E9" s="24" t="inlineStr">
        <is>
          <t>Sì</t>
        </is>
      </c>
      <c r="F9" s="24" t="inlineStr">
        <is>
          <t>Sì</t>
        </is>
      </c>
      <c r="G9" s="16" t="inlineStr">
        <is>
          <t>Da qui: usare sempre lo script generato</t>
        </is>
      </c>
    </row>
    <row r="10">
      <c r="A10" s="24" t="n">
        <v>6</v>
      </c>
      <c r="B10" s="24" t="inlineStr">
        <is>
          <t>20260902081401_AggiungiSlotPrenotazionePostazione</t>
        </is>
      </c>
      <c r="C10" s="27" t="n">
        <v>46267</v>
      </c>
      <c r="D10" s="16" t="inlineStr">
        <is>
          <t>Data e fascia sul legame tavolo-prenotazione + indice unico</t>
        </is>
      </c>
      <c r="E10" s="24" t="inlineStr">
        <is>
          <t>Sì</t>
        </is>
      </c>
      <c r="F10" s="24" t="inlineStr">
        <is>
          <t>Sì</t>
        </is>
      </c>
      <c r="G10" s="16" t="inlineStr">
        <is>
          <t>Un tavolo non si prenota due volte</t>
        </is>
      </c>
    </row>
    <row r="11">
      <c r="A11" s="24" t="n">
        <v>7</v>
      </c>
      <c r="B11" s="24" t="inlineStr">
        <is>
          <t>20260904141854_AuditLogIndiciEStoricoUtenteProtetto</t>
        </is>
      </c>
      <c r="C11" s="27" t="n">
        <v>46269</v>
      </c>
      <c r="D11" s="16" t="inlineStr">
        <is>
          <t>Indici sul registro; utente con prenotazioni non eliminabile</t>
        </is>
      </c>
      <c r="E11" s="24" t="inlineStr">
        <is>
          <t>Sì</t>
        </is>
      </c>
      <c r="F11" s="24" t="inlineStr">
        <is>
          <t>Sì</t>
        </is>
      </c>
      <c r="G11" s="16" t="inlineStr"/>
    </row>
  </sheetData>
  <mergeCells count="1">
    <mergeCell ref="A1:G1"/>
  </mergeCells>
  <conditionalFormatting sqref="E5:E1000">
    <cfRule type="expression" priority="1" dxfId="0">
      <formula>$E5="Sì"</formula>
    </cfRule>
    <cfRule type="expression" priority="2" dxfId="1">
      <formula>$E5="No"</formula>
    </cfRule>
  </conditionalFormatting>
  <conditionalFormatting sqref="F5:F1000">
    <cfRule type="expression" priority="3" dxfId="0">
      <formula>$F5="Sì"</formula>
    </cfRule>
    <cfRule type="expression" priority="4" dxfId="1">
      <formula>$F5="No"</formula>
    </cfRule>
  </conditionalFormatting>
  <dataValidations count="2">
    <dataValidation sqref="E5:E1000" showDropDown="0" showInputMessage="0" showErrorMessage="1" allowBlank="1" errorTitle="Valore non previsto" error="Scegli un valore dall'elenco." type="list">
      <formula1>"Sì,No"</formula1>
    </dataValidation>
    <dataValidation sqref="F5:F1000" showDropDown="0" showInputMessage="0" showErrorMessage="1" allowBlank="1" errorTitle="Valore non previsto" error="Scegli un valore dall'elenco." type="list">
      <formula1>"Sì,No"</formula1>
    </dataValidation>
  </dataValidations>
  <hyperlinks>
    <hyperlink ref="G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2E7D32"/>
    <outlinePr summaryBelow="1" summaryRight="1"/>
    <pageSetUpPr/>
  </sheetPr>
  <dimension ref="A1:D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2" customWidth="1" min="2" max="2"/>
    <col width="40" customWidth="1" min="3" max="3"/>
    <col width="60" customWidth="1" min="4" max="4"/>
  </cols>
  <sheetData>
    <row r="1" ht="34" customHeight="1">
      <c r="A1" s="28" t="inlineStr">
        <is>
          <t>FE · PAGINE — LE SCHERMATE E CHI LE VEDE</t>
        </is>
      </c>
      <c r="B1" s="29" t="n"/>
      <c r="C1" s="29" t="n"/>
      <c r="D1" s="29" t="n"/>
    </row>
    <row r="2" ht="20" customHeight="1">
      <c r="A2" s="3" t="inlineStr">
        <is>
          <t>Rotte in gestora-frontend/src/router/index.tsx. Le pagine riservate stanno dentro AppLayout (barra superiore).</t>
        </is>
      </c>
      <c r="D2" s="22" t="inlineStr">
        <is>
          <t>← Torna alla Dashboard</t>
        </is>
      </c>
    </row>
    <row r="4" ht="24" customHeight="1">
      <c r="A4" s="23" t="inlineStr">
        <is>
          <t>Indirizzo</t>
        </is>
      </c>
      <c r="B4" s="23" t="inlineStr">
        <is>
          <t>Pagina</t>
        </is>
      </c>
      <c r="C4" s="23" t="inlineStr">
        <is>
          <t>Chi la vede</t>
        </is>
      </c>
      <c r="D4" s="23" t="inlineStr">
        <is>
          <t>Cosa fa</t>
        </is>
      </c>
    </row>
    <row r="5">
      <c r="A5" s="24" t="inlineStr">
        <is>
          <t>/</t>
        </is>
      </c>
      <c r="B5" s="24" t="inlineStr">
        <is>
          <t>LandingPage</t>
        </is>
      </c>
      <c r="C5" s="16" t="inlineStr">
        <is>
          <t>Tutti (chi è collegato va alla sua pagina)</t>
        </is>
      </c>
      <c r="D5" s="16" t="inlineStr">
        <is>
          <t>Presenta il locale e controlla se c'è posto</t>
        </is>
      </c>
    </row>
    <row r="6">
      <c r="A6" s="24" t="inlineStr">
        <is>
          <t>/setup</t>
        </is>
      </c>
      <c r="B6" s="24" t="inlineStr">
        <is>
          <t>SetupPage</t>
        </is>
      </c>
      <c r="C6" s="16" t="inlineStr">
        <is>
          <t>Tutti, solo finché non c'è un Admin</t>
        </is>
      </c>
      <c r="D6" s="16" t="inlineStr">
        <is>
          <t>Crea il primo Admin</t>
        </is>
      </c>
    </row>
    <row r="7">
      <c r="A7" s="24" t="inlineStr">
        <is>
          <t>/login</t>
        </is>
      </c>
      <c r="B7" s="24" t="inlineStr">
        <is>
          <t>LoginPage</t>
        </is>
      </c>
      <c r="C7" s="16" t="inlineStr">
        <is>
          <t>Tutti</t>
        </is>
      </c>
      <c r="D7" s="16" t="inlineStr">
        <is>
          <t>Accesso</t>
        </is>
      </c>
    </row>
    <row r="8">
      <c r="A8" s="24" t="inlineStr">
        <is>
          <t>/register</t>
        </is>
      </c>
      <c r="B8" s="24" t="inlineStr">
        <is>
          <t>RegisterPage</t>
        </is>
      </c>
      <c r="C8" s="16" t="inlineStr">
        <is>
          <t>Tutti</t>
        </is>
      </c>
      <c r="D8" s="16" t="inlineStr">
        <is>
          <t>Registrazione come Cliente</t>
        </is>
      </c>
    </row>
    <row r="9">
      <c r="A9" s="24" t="inlineStr">
        <is>
          <t>/dashboard</t>
        </is>
      </c>
      <c r="B9" s="24" t="inlineStr">
        <is>
          <t>DashboardPage</t>
        </is>
      </c>
      <c r="C9" s="16" t="inlineStr">
        <is>
          <t>Admin, Staff</t>
        </is>
      </c>
      <c r="D9" s="16" t="inlineStr">
        <is>
          <t>Numeri del giorno e della settimana</t>
        </is>
      </c>
    </row>
    <row r="10">
      <c r="A10" s="24" t="inlineStr">
        <is>
          <t>/zone</t>
        </is>
      </c>
      <c r="B10" s="24" t="inlineStr">
        <is>
          <t>ZonePage</t>
        </is>
      </c>
      <c r="C10" s="16" t="inlineStr">
        <is>
          <t>Admin, Staff</t>
        </is>
      </c>
      <c r="D10" s="16" t="inlineStr">
        <is>
          <t>Elenco e gestione delle zone</t>
        </is>
      </c>
    </row>
    <row r="11">
      <c r="A11" s="24" t="inlineStr">
        <is>
          <t>/postazioni</t>
        </is>
      </c>
      <c r="B11" s="24" t="inlineStr">
        <is>
          <t>PostazionePage</t>
        </is>
      </c>
      <c r="C11" s="16" t="inlineStr">
        <is>
          <t>Admin, Staff</t>
        </is>
      </c>
      <c r="D11" s="16" t="inlineStr">
        <is>
          <t>Tavoli e riepilogo della sala</t>
        </is>
      </c>
    </row>
    <row r="12">
      <c r="A12" s="24" t="inlineStr">
        <is>
          <t>/fasce-orarie</t>
        </is>
      </c>
      <c r="B12" s="24" t="inlineStr">
        <is>
          <t>FasciaOrariaPage</t>
        </is>
      </c>
      <c r="C12" s="16" t="inlineStr">
        <is>
          <t>Admin, Staff</t>
        </is>
      </c>
      <c r="D12" s="16" t="inlineStr">
        <is>
          <t>Fasce orarie e tetti dei coperti</t>
        </is>
      </c>
    </row>
    <row r="13">
      <c r="A13" s="24" t="inlineStr">
        <is>
          <t>/prenotazioni</t>
        </is>
      </c>
      <c r="B13" s="24" t="inlineStr">
        <is>
          <t>PrenotazionePage</t>
        </is>
      </c>
      <c r="C13" s="16" t="inlineStr">
        <is>
          <t>Admin, Staff, Cliente</t>
        </is>
      </c>
      <c r="D13" s="16" t="inlineStr">
        <is>
          <t>Prenotazioni: elenco, filtri, azioni</t>
        </is>
      </c>
    </row>
    <row r="14">
      <c r="A14" s="24" t="inlineStr">
        <is>
          <t>/admin-utenti</t>
        </is>
      </c>
      <c r="B14" s="24" t="inlineStr">
        <is>
          <t>AdminUtentiPage</t>
        </is>
      </c>
      <c r="C14" s="16" t="inlineStr">
        <is>
          <t>Admin</t>
        </is>
      </c>
      <c r="D14" s="16" t="inlineStr">
        <is>
          <t>Utenti, ruoli e password</t>
        </is>
      </c>
    </row>
    <row r="15">
      <c r="A15" s="24" t="inlineStr">
        <is>
          <t>/unauthorized</t>
        </is>
      </c>
      <c r="B15" s="24" t="inlineStr">
        <is>
          <t>UnauthorizedPage</t>
        </is>
      </c>
      <c r="C15" s="16" t="inlineStr">
        <is>
          <t>Tutti</t>
        </is>
      </c>
      <c r="D15" s="16" t="inlineStr">
        <is>
          <t>Avviso: pagina non permessa</t>
        </is>
      </c>
    </row>
    <row r="16">
      <c r="A16" s="24" t="inlineStr">
        <is>
          <t>*</t>
        </is>
      </c>
      <c r="B16" s="24" t="inlineStr">
        <is>
          <t>NotFoundPage</t>
        </is>
      </c>
      <c r="C16" s="16" t="inlineStr">
        <is>
          <t>Tutti</t>
        </is>
      </c>
      <c r="D16" s="16" t="inlineStr">
        <is>
          <t>Pagina non trovata</t>
        </is>
      </c>
    </row>
  </sheetData>
  <mergeCells count="1">
    <mergeCell ref="A1:D1"/>
  </mergeCells>
  <conditionalFormatting sqref="C5:C1000">
    <cfRule type="expression" priority="1" dxfId="1">
      <formula>$C5="Tutti"</formula>
    </cfRule>
    <cfRule type="expression" priority="2" dxfId="5">
      <formula>$C5="Admin"</formula>
    </cfRule>
  </conditionalFormatting>
  <hyperlinks>
    <hyperlink ref="D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2E7D32"/>
    <outlinePr summaryBelow="1" summaryRight="1"/>
    <pageSetUpPr/>
  </sheetPr>
  <dimension ref="A1:D3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56" customWidth="1" min="3" max="3"/>
    <col width="30" customWidth="1" min="4" max="4"/>
  </cols>
  <sheetData>
    <row r="1" ht="34" customHeight="1">
      <c r="A1" s="28" t="inlineStr">
        <is>
          <t>FE · COMPONENTI — I PEZZI DELLE SCHERMATE</t>
        </is>
      </c>
      <c r="B1" s="29" t="n"/>
      <c r="C1" s="29" t="n"/>
      <c r="D1" s="29" t="n"/>
    </row>
    <row r="2" ht="20" customHeight="1">
      <c r="A2" s="3" t="inlineStr">
        <is>
          <t>Cartella gestora-frontend/src/components (struttura piatta, i componenti base in ui/).</t>
        </is>
      </c>
      <c r="D2" s="22" t="inlineStr">
        <is>
          <t>← Torna alla Dashboard</t>
        </is>
      </c>
    </row>
    <row r="4" ht="24" customHeight="1">
      <c r="A4" s="23" t="inlineStr">
        <is>
          <t>Componente</t>
        </is>
      </c>
      <c r="B4" s="23" t="inlineStr">
        <is>
          <t>Tipo</t>
        </is>
      </c>
      <c r="C4" s="23" t="inlineStr">
        <is>
          <t>Cosa fa</t>
        </is>
      </c>
      <c r="D4" s="23" t="inlineStr">
        <is>
          <t>Usato in</t>
        </is>
      </c>
    </row>
    <row r="5">
      <c r="A5" s="24" t="inlineStr">
        <is>
          <t>ZonaModal</t>
        </is>
      </c>
      <c r="B5" s="24" t="inlineStr">
        <is>
          <t>Finestra</t>
        </is>
      </c>
      <c r="C5" s="16" t="inlineStr">
        <is>
          <t>Crea o modifica una zona</t>
        </is>
      </c>
      <c r="D5" s="16" t="inlineStr">
        <is>
          <t>ZonePage</t>
        </is>
      </c>
    </row>
    <row r="6">
      <c r="A6" s="24" t="inlineStr">
        <is>
          <t>PostazioneModal</t>
        </is>
      </c>
      <c r="B6" s="24" t="inlineStr">
        <is>
          <t>Finestra</t>
        </is>
      </c>
      <c r="C6" s="16" t="inlineStr">
        <is>
          <t>Crea o modifica un tavolo</t>
        </is>
      </c>
      <c r="D6" s="16" t="inlineStr">
        <is>
          <t>PostazionePage</t>
        </is>
      </c>
    </row>
    <row r="7">
      <c r="A7" s="24" t="inlineStr">
        <is>
          <t>FasciaOrariaModal</t>
        </is>
      </c>
      <c r="B7" s="24" t="inlineStr">
        <is>
          <t>Finestra</t>
        </is>
      </c>
      <c r="C7" s="16" t="inlineStr">
        <is>
          <t>Crea o modifica una fascia</t>
        </is>
      </c>
      <c r="D7" s="16" t="inlineStr">
        <is>
          <t>FasciaOrariaPage</t>
        </is>
      </c>
    </row>
    <row r="8">
      <c r="A8" s="24" t="inlineStr">
        <is>
          <t>PrenotazioneModal</t>
        </is>
      </c>
      <c r="B8" s="24" t="inlineStr">
        <is>
          <t>Finestra</t>
        </is>
      </c>
      <c r="C8" s="16" t="inlineStr">
        <is>
          <t>Crea o modifica una prenotazione</t>
        </is>
      </c>
      <c r="D8" s="16" t="inlineStr">
        <is>
          <t>PrenotazionePage</t>
        </is>
      </c>
    </row>
    <row r="9">
      <c r="A9" s="24" t="inlineStr">
        <is>
          <t>NotaPrenotazioneDialog</t>
        </is>
      </c>
      <c r="B9" s="24" t="inlineStr">
        <is>
          <t>Finestra</t>
        </is>
      </c>
      <c r="C9" s="16" t="inlineStr">
        <is>
          <t>Mostra la nota di una prenotazione</t>
        </is>
      </c>
      <c r="D9" s="16" t="inlineStr">
        <is>
          <t>PrenotazionePage</t>
        </is>
      </c>
    </row>
    <row r="10">
      <c r="A10" s="24" t="inlineStr">
        <is>
          <t>CreateUserModal</t>
        </is>
      </c>
      <c r="B10" s="24" t="inlineStr">
        <is>
          <t>Finestra</t>
        </is>
      </c>
      <c r="C10" s="16" t="inlineStr">
        <is>
          <t>Crea un utente con ruolo</t>
        </is>
      </c>
      <c r="D10" s="16" t="inlineStr">
        <is>
          <t>AdminUtentiPage</t>
        </is>
      </c>
    </row>
    <row r="11">
      <c r="A11" s="24" t="inlineStr">
        <is>
          <t>EditUserModal</t>
        </is>
      </c>
      <c r="B11" s="24" t="inlineStr">
        <is>
          <t>Finestra</t>
        </is>
      </c>
      <c r="C11" s="16" t="inlineStr">
        <is>
          <t>Modifica nome o email</t>
        </is>
      </c>
      <c r="D11" s="16" t="inlineStr">
        <is>
          <t>AdminUtentiPage</t>
        </is>
      </c>
    </row>
    <row r="12">
      <c r="A12" s="24" t="inlineStr">
        <is>
          <t>GestisciRuoliModal</t>
        </is>
      </c>
      <c r="B12" s="24" t="inlineStr">
        <is>
          <t>Finestra</t>
        </is>
      </c>
      <c r="C12" s="16" t="inlineStr">
        <is>
          <t>Dà o toglie ruoli</t>
        </is>
      </c>
      <c r="D12" s="16" t="inlineStr">
        <is>
          <t>AdminUtentiPage</t>
        </is>
      </c>
    </row>
    <row r="13">
      <c r="A13" s="24" t="inlineStr">
        <is>
          <t>ResetPasswordModal</t>
        </is>
      </c>
      <c r="B13" s="24" t="inlineStr">
        <is>
          <t>Finestra</t>
        </is>
      </c>
      <c r="C13" s="16" t="inlineStr">
        <is>
          <t>Imposta una nuova password</t>
        </is>
      </c>
      <c r="D13" s="16" t="inlineStr">
        <is>
          <t>AdminUtentiPage</t>
        </is>
      </c>
    </row>
    <row r="14">
      <c r="A14" s="24" t="inlineStr">
        <is>
          <t>ConfirmDialog</t>
        </is>
      </c>
      <c r="B14" s="24" t="inlineStr">
        <is>
          <t>Finestra</t>
        </is>
      </c>
      <c r="C14" s="16" t="inlineStr">
        <is>
          <t>Chiede conferma prima di un'azione</t>
        </is>
      </c>
      <c r="D14" s="16" t="inlineStr">
        <is>
          <t>Più pagine</t>
        </is>
      </c>
    </row>
    <row r="15">
      <c r="A15" s="24" t="inlineStr">
        <is>
          <t>AppLayout</t>
        </is>
      </c>
      <c r="B15" s="24" t="inlineStr">
        <is>
          <t>Struttura</t>
        </is>
      </c>
      <c r="C15" s="16" t="inlineStr">
        <is>
          <t>Barra superiore con menu per ruolo</t>
        </is>
      </c>
      <c r="D15" s="16" t="inlineStr">
        <is>
          <t>Pagine riservate</t>
        </is>
      </c>
    </row>
    <row r="16">
      <c r="A16" s="24" t="inlineStr">
        <is>
          <t>IntestazionePagina</t>
        </is>
      </c>
      <c r="B16" s="24" t="inlineStr">
        <is>
          <t>Condiviso</t>
        </is>
      </c>
      <c r="C16" s="16" t="inlineStr">
        <is>
          <t>Titolo e pulsanti in cima alla pagina</t>
        </is>
      </c>
      <c r="D16" s="16" t="inlineStr">
        <is>
          <t>Più pagine</t>
        </is>
      </c>
    </row>
    <row r="17">
      <c r="A17" s="24" t="inlineStr">
        <is>
          <t>AzioniRiga</t>
        </is>
      </c>
      <c r="B17" s="24" t="inlineStr">
        <is>
          <t>Condiviso</t>
        </is>
      </c>
      <c r="C17" s="16" t="inlineStr">
        <is>
          <t>Pulsanti modifica/elimina di una riga</t>
        </is>
      </c>
      <c r="D17" s="16" t="inlineStr">
        <is>
          <t>Tabelle</t>
        </is>
      </c>
    </row>
    <row r="18">
      <c r="A18" s="24" t="inlineStr">
        <is>
          <t>AzioniPrenotazione</t>
        </is>
      </c>
      <c r="B18" s="24" t="inlineStr">
        <is>
          <t>Condiviso</t>
        </is>
      </c>
      <c r="C18" s="16" t="inlineStr">
        <is>
          <t>Conferma/annulla/completa, solo quando permesso</t>
        </is>
      </c>
      <c r="D18" s="16" t="inlineStr">
        <is>
          <t>PrenotazionePage</t>
        </is>
      </c>
    </row>
    <row r="19">
      <c r="A19" s="24" t="inlineStr">
        <is>
          <t>BandaCoperti</t>
        </is>
      </c>
      <c r="B19" s="24" t="inlineStr">
        <is>
          <t>Condiviso</t>
        </is>
      </c>
      <c r="C19" s="16" t="inlineStr">
        <is>
          <t>Barra dei coperti usati sul tetto</t>
        </is>
      </c>
      <c r="D19" s="16" t="inlineStr">
        <is>
          <t>Dashboard, Prenotazioni</t>
        </is>
      </c>
    </row>
    <row r="20">
      <c r="A20" s="24" t="inlineStr">
        <is>
          <t>StatoBadge</t>
        </is>
      </c>
      <c r="B20" s="24" t="inlineStr">
        <is>
          <t>Condiviso</t>
        </is>
      </c>
      <c r="C20" s="16" t="inlineStr">
        <is>
          <t>Etichetta colorata dello stato</t>
        </is>
      </c>
      <c r="D20" s="16" t="inlineStr">
        <is>
          <t>Prenotazioni</t>
        </is>
      </c>
    </row>
    <row r="21">
      <c r="A21" s="24" t="inlineStr">
        <is>
          <t>StatoAttivo</t>
        </is>
      </c>
      <c r="B21" s="24" t="inlineStr">
        <is>
          <t>Condiviso</t>
        </is>
      </c>
      <c r="C21" s="16" t="inlineStr">
        <is>
          <t>Etichetta Attivo / Spento</t>
        </is>
      </c>
      <c r="D21" s="16" t="inlineStr">
        <is>
          <t>Zone, tavoli, fasce</t>
        </is>
      </c>
    </row>
    <row r="22">
      <c r="A22" s="24" t="inlineStr">
        <is>
          <t>Paginazione</t>
        </is>
      </c>
      <c r="B22" s="24" t="inlineStr">
        <is>
          <t>Condiviso</t>
        </is>
      </c>
      <c r="C22" s="16" t="inlineStr">
        <is>
          <t>Pulsanti di pagina</t>
        </is>
      </c>
      <c r="D22" s="16" t="inlineStr">
        <is>
          <t>Prenotazioni</t>
        </is>
      </c>
    </row>
    <row r="23">
      <c r="A23" s="24" t="inlineStr">
        <is>
          <t>PageState</t>
        </is>
      </c>
      <c r="B23" s="24" t="inlineStr">
        <is>
          <t>Condiviso</t>
        </is>
      </c>
      <c r="C23" s="16" t="inlineStr">
        <is>
          <t>Caricamento, errore o vuoto</t>
        </is>
      </c>
      <c r="D23" s="16" t="inlineStr">
        <is>
          <t>Più pagine</t>
        </is>
      </c>
    </row>
    <row r="24">
      <c r="A24" s="24" t="inlineStr">
        <is>
          <t>EmptyState</t>
        </is>
      </c>
      <c r="B24" s="24" t="inlineStr">
        <is>
          <t>Condiviso</t>
        </is>
      </c>
      <c r="C24" s="16" t="inlineStr">
        <is>
          <t>Messaggio quando non ci sono dati</t>
        </is>
      </c>
      <c r="D24" s="16" t="inlineStr">
        <is>
          <t>Più pagine</t>
        </is>
      </c>
    </row>
    <row r="25">
      <c r="A25" s="24" t="inlineStr">
        <is>
          <t>ErrorScreen / SchermataMessaggio</t>
        </is>
      </c>
      <c r="B25" s="24" t="inlineStr">
        <is>
          <t>Condiviso</t>
        </is>
      </c>
      <c r="C25" s="16" t="inlineStr">
        <is>
          <t>Schermata di errore o avviso</t>
        </is>
      </c>
      <c r="D25" s="16" t="inlineStr">
        <is>
          <t>Pagine di errore</t>
        </is>
      </c>
    </row>
    <row r="26">
      <c r="A26" s="24" t="inlineStr">
        <is>
          <t>ErrorBoundary</t>
        </is>
      </c>
      <c r="B26" s="24" t="inlineStr">
        <is>
          <t>Condiviso</t>
        </is>
      </c>
      <c r="C26" s="16" t="inlineStr">
        <is>
          <t>Evita la pagina bianca se un componente si rompe</t>
        </is>
      </c>
      <c r="D26" s="16" t="inlineStr">
        <is>
          <t>App</t>
        </is>
      </c>
    </row>
    <row r="27">
      <c r="A27" s="24" t="inlineStr">
        <is>
          <t>ConfigurazioneMancante</t>
        </is>
      </c>
      <c r="B27" s="24" t="inlineStr">
        <is>
          <t>Condiviso</t>
        </is>
      </c>
      <c r="C27" s="16" t="inlineStr">
        <is>
          <t>Avviso se manca l'indirizzo dell'API</t>
        </is>
      </c>
      <c r="D27" s="16" t="inlineStr">
        <is>
          <t>App</t>
        </is>
      </c>
    </row>
    <row r="28">
      <c r="A28" s="24" t="inlineStr">
        <is>
          <t>ThemeToggle</t>
        </is>
      </c>
      <c r="B28" s="24" t="inlineStr">
        <is>
          <t>Condiviso</t>
        </is>
      </c>
      <c r="C28" s="16" t="inlineStr">
        <is>
          <t>Cambia tema chiaro/scuro</t>
        </is>
      </c>
      <c r="D28" s="16" t="inlineStr">
        <is>
          <t>Barra superiore</t>
        </is>
      </c>
    </row>
    <row r="29">
      <c r="A29" s="24" t="inlineStr">
        <is>
          <t>Logo</t>
        </is>
      </c>
      <c r="B29" s="24" t="inlineStr">
        <is>
          <t>Condiviso</t>
        </is>
      </c>
      <c r="C29" s="16" t="inlineStr">
        <is>
          <t>Logo Gestora</t>
        </is>
      </c>
      <c r="D29" s="16" t="inlineStr">
        <is>
          <t>Barra, landing</t>
        </is>
      </c>
    </row>
    <row r="30">
      <c r="A30" s="24" t="inlineStr">
        <is>
          <t>DevtoolsQuery</t>
        </is>
      </c>
      <c r="B30" s="24" t="inlineStr">
        <is>
          <t>Condiviso</t>
        </is>
      </c>
      <c r="C30" s="16" t="inlineStr">
        <is>
          <t>Strumenti di TanStack Query, solo in sviluppo</t>
        </is>
      </c>
      <c r="D30" s="16" t="inlineStr">
        <is>
          <t>App</t>
        </is>
      </c>
    </row>
    <row r="31">
      <c r="A31" s="24" t="inlineStr">
        <is>
          <t>VerificaDisponibilita</t>
        </is>
      </c>
      <c r="B31" s="24" t="inlineStr">
        <is>
          <t>Condiviso</t>
        </is>
      </c>
      <c r="C31" s="16" t="inlineStr">
        <is>
          <t>Modulo pubblico «c'è posto?»</t>
        </is>
      </c>
      <c r="D31" s="16" t="inlineStr">
        <is>
          <t>LandingPage</t>
        </is>
      </c>
    </row>
    <row r="32">
      <c r="A32" s="24" t="inlineStr">
        <is>
          <t>ui/ (shadcn)</t>
        </is>
      </c>
      <c r="B32" s="24" t="inlineStr">
        <is>
          <t>UI base</t>
        </is>
      </c>
      <c r="C32" s="16" t="inlineStr">
        <is>
          <t>Pulsanti, tabelle, finestre, campi, menu, etichette</t>
        </is>
      </c>
      <c r="D32" s="16" t="inlineStr">
        <is>
          <t>Tutti i componenti</t>
        </is>
      </c>
    </row>
  </sheetData>
  <mergeCells count="1">
    <mergeCell ref="A1:D1"/>
  </mergeCells>
  <conditionalFormatting sqref="B5:B1000">
    <cfRule type="expression" priority="1" dxfId="2">
      <formula>$B5="Finestra"</formula>
    </cfRule>
    <cfRule type="expression" priority="2" dxfId="0">
      <formula>$B5="Condiviso"</formula>
    </cfRule>
    <cfRule type="expression" priority="3" dxfId="3">
      <formula>$B5="Struttura"</formula>
    </cfRule>
    <cfRule type="expression" priority="4" dxfId="1">
      <formula>$B5="UI base"</formula>
    </cfRule>
  </conditionalFormatting>
  <hyperlinks>
    <hyperlink ref="D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2E7D32"/>
    <outlinePr summaryBelow="1" summaryRight="1"/>
    <pageSetUpPr/>
  </sheetPr>
  <dimension ref="A1:F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9" customWidth="1" min="3" max="3"/>
    <col width="50" customWidth="1" min="4" max="4"/>
    <col width="42" customWidth="1" min="5" max="5"/>
    <col width="24" customWidth="1" min="6" max="6"/>
  </cols>
  <sheetData>
    <row r="1" ht="34" customHeight="1">
      <c r="A1" s="28" t="inlineStr">
        <is>
          <t>FE · HOOK E CHIAMATE ALL'API</t>
        </is>
      </c>
      <c r="B1" s="29" t="n"/>
      <c r="C1" s="29" t="n"/>
      <c r="D1" s="29" t="n"/>
      <c r="E1" s="29" t="n"/>
      <c r="F1" s="29" t="n"/>
    </row>
    <row r="2" ht="20" customHeight="1">
      <c r="A2" s="3" t="inlineStr">
        <is>
          <t>Ogni hook usa TanStack Query e chiama l'API con apiClient (src/lib/axios.ts). Indirizzi in src/lib/endpoints.ts, base /api.</t>
        </is>
      </c>
      <c r="F2" s="22" t="inlineStr">
        <is>
          <t>← Torna alla Dashboard</t>
        </is>
      </c>
    </row>
    <row r="4" ht="24" customHeight="1">
      <c r="A4" s="23" t="inlineStr">
        <is>
          <t>Hook</t>
        </is>
      </c>
      <c r="B4" s="23" t="inlineStr">
        <is>
          <t>Area</t>
        </is>
      </c>
      <c r="C4" s="23" t="inlineStr">
        <is>
          <t>Verbo</t>
        </is>
      </c>
      <c r="D4" s="23" t="inlineStr">
        <is>
          <t>Endpoint</t>
        </is>
      </c>
      <c r="E4" s="23" t="inlineStr">
        <is>
          <t>Cosa fa</t>
        </is>
      </c>
      <c r="F4" s="23" t="inlineStr">
        <is>
          <t>File</t>
        </is>
      </c>
    </row>
    <row r="5">
      <c r="A5" s="24" t="inlineStr">
        <is>
          <t>useZone</t>
        </is>
      </c>
      <c r="B5" s="24" t="inlineStr">
        <is>
          <t>Zone</t>
        </is>
      </c>
      <c r="C5" s="24" t="inlineStr">
        <is>
          <t>GET</t>
        </is>
      </c>
      <c r="D5" s="16" t="inlineStr">
        <is>
          <t>Zona/get-all-zone</t>
        </is>
      </c>
      <c r="E5" s="16" t="inlineStr">
        <is>
          <t>Tutte le zone</t>
        </is>
      </c>
      <c r="F5" s="24" t="inlineStr">
        <is>
          <t>useZone.ts</t>
        </is>
      </c>
    </row>
    <row r="6">
      <c r="A6" s="24" t="inlineStr">
        <is>
          <t>useZoneAttive</t>
        </is>
      </c>
      <c r="B6" s="24" t="inlineStr">
        <is>
          <t>Zone</t>
        </is>
      </c>
      <c r="C6" s="24" t="inlineStr">
        <is>
          <t>GET</t>
        </is>
      </c>
      <c r="D6" s="16" t="inlineStr">
        <is>
          <t>Zona/get-zone-attive</t>
        </is>
      </c>
      <c r="E6" s="16" t="inlineStr">
        <is>
          <t>Zone attive</t>
        </is>
      </c>
      <c r="F6" s="24" t="inlineStr">
        <is>
          <t>useZone.ts</t>
        </is>
      </c>
    </row>
    <row r="7">
      <c r="A7" s="24" t="inlineStr">
        <is>
          <t>useCreaZona</t>
        </is>
      </c>
      <c r="B7" s="24" t="inlineStr">
        <is>
          <t>Zone</t>
        </is>
      </c>
      <c r="C7" s="24" t="inlineStr">
        <is>
          <t>POST</t>
        </is>
      </c>
      <c r="D7" s="16" t="inlineStr">
        <is>
          <t>Zona/crea-zona</t>
        </is>
      </c>
      <c r="E7" s="16" t="inlineStr">
        <is>
          <t>Crea una zona</t>
        </is>
      </c>
      <c r="F7" s="24" t="inlineStr">
        <is>
          <t>useZone.ts</t>
        </is>
      </c>
    </row>
    <row r="8">
      <c r="A8" s="24" t="inlineStr">
        <is>
          <t>useUpdateZona</t>
        </is>
      </c>
      <c r="B8" s="24" t="inlineStr">
        <is>
          <t>Zone</t>
        </is>
      </c>
      <c r="C8" s="24" t="inlineStr">
        <is>
          <t>PUT</t>
        </is>
      </c>
      <c r="D8" s="16" t="inlineStr">
        <is>
          <t>Zona/update-zona</t>
        </is>
      </c>
      <c r="E8" s="16" t="inlineStr">
        <is>
          <t>Modifica una zona</t>
        </is>
      </c>
      <c r="F8" s="24" t="inlineStr">
        <is>
          <t>useZone.ts</t>
        </is>
      </c>
    </row>
    <row r="9">
      <c r="A9" s="24" t="inlineStr">
        <is>
          <t>useDeleteZona</t>
        </is>
      </c>
      <c r="B9" s="24" t="inlineStr">
        <is>
          <t>Zone</t>
        </is>
      </c>
      <c r="C9" s="24" t="inlineStr">
        <is>
          <t>DELETE</t>
        </is>
      </c>
      <c r="D9" s="16" t="inlineStr">
        <is>
          <t>Zona/delete-zona/{id}</t>
        </is>
      </c>
      <c r="E9" s="16" t="inlineStr">
        <is>
          <t>Elimina una zona</t>
        </is>
      </c>
      <c r="F9" s="24" t="inlineStr">
        <is>
          <t>useZone.ts</t>
        </is>
      </c>
    </row>
    <row r="10">
      <c r="A10" s="24" t="inlineStr">
        <is>
          <t>usePostazioni</t>
        </is>
      </c>
      <c r="B10" s="24" t="inlineStr">
        <is>
          <t>Tavoli</t>
        </is>
      </c>
      <c r="C10" s="24" t="inlineStr">
        <is>
          <t>GET</t>
        </is>
      </c>
      <c r="D10" s="16" t="inlineStr">
        <is>
          <t>Postazione/get-postazioni-per-zona</t>
        </is>
      </c>
      <c r="E10" s="16" t="inlineStr">
        <is>
          <t>Tavoli di una zona</t>
        </is>
      </c>
      <c r="F10" s="24" t="inlineStr">
        <is>
          <t>usePostazioni.ts</t>
        </is>
      </c>
    </row>
    <row r="11">
      <c r="A11" s="24" t="inlineStr">
        <is>
          <t>useRiepilogoSala</t>
        </is>
      </c>
      <c r="B11" s="24" t="inlineStr">
        <is>
          <t>Tavoli</t>
        </is>
      </c>
      <c r="C11" s="24" t="inlineStr">
        <is>
          <t>GET</t>
        </is>
      </c>
      <c r="D11" s="16" t="inlineStr">
        <is>
          <t>Postazione/riepilogo-sala</t>
        </is>
      </c>
      <c r="E11" s="16" t="inlineStr">
        <is>
          <t>Riepilogo della sala</t>
        </is>
      </c>
      <c r="F11" s="24" t="inlineStr">
        <is>
          <t>usePostazioni.ts</t>
        </is>
      </c>
    </row>
    <row r="12">
      <c r="A12" s="24" t="inlineStr">
        <is>
          <t>useCreaPostazione</t>
        </is>
      </c>
      <c r="B12" s="24" t="inlineStr">
        <is>
          <t>Tavoli</t>
        </is>
      </c>
      <c r="C12" s="24" t="inlineStr">
        <is>
          <t>POST</t>
        </is>
      </c>
      <c r="D12" s="16" t="inlineStr">
        <is>
          <t>Postazione/crea-postazione</t>
        </is>
      </c>
      <c r="E12" s="16" t="inlineStr">
        <is>
          <t>Crea un tavolo</t>
        </is>
      </c>
      <c r="F12" s="24" t="inlineStr">
        <is>
          <t>usePostazioni.ts</t>
        </is>
      </c>
    </row>
    <row r="13">
      <c r="A13" s="24" t="inlineStr">
        <is>
          <t>useUpdatePostazione</t>
        </is>
      </c>
      <c r="B13" s="24" t="inlineStr">
        <is>
          <t>Tavoli</t>
        </is>
      </c>
      <c r="C13" s="24" t="inlineStr">
        <is>
          <t>PUT</t>
        </is>
      </c>
      <c r="D13" s="16" t="inlineStr">
        <is>
          <t>Postazione/update-postazione</t>
        </is>
      </c>
      <c r="E13" s="16" t="inlineStr">
        <is>
          <t>Modifica un tavolo</t>
        </is>
      </c>
      <c r="F13" s="24" t="inlineStr">
        <is>
          <t>usePostazioni.ts</t>
        </is>
      </c>
    </row>
    <row r="14">
      <c r="A14" s="24" t="inlineStr">
        <is>
          <t>useDeletePostazione</t>
        </is>
      </c>
      <c r="B14" s="24" t="inlineStr">
        <is>
          <t>Tavoli</t>
        </is>
      </c>
      <c r="C14" s="24" t="inlineStr">
        <is>
          <t>DELETE</t>
        </is>
      </c>
      <c r="D14" s="16" t="inlineStr">
        <is>
          <t>Postazione/delete-postazione</t>
        </is>
      </c>
      <c r="E14" s="16" t="inlineStr">
        <is>
          <t>Elimina un tavolo</t>
        </is>
      </c>
      <c r="F14" s="24" t="inlineStr">
        <is>
          <t>usePostazioni.ts</t>
        </is>
      </c>
    </row>
    <row r="15">
      <c r="A15" s="24" t="inlineStr">
        <is>
          <t>useFasceOrarie</t>
        </is>
      </c>
      <c r="B15" s="24" t="inlineStr">
        <is>
          <t>Fasce orarie</t>
        </is>
      </c>
      <c r="C15" s="24" t="inlineStr">
        <is>
          <t>GET</t>
        </is>
      </c>
      <c r="D15" s="16" t="inlineStr">
        <is>
          <t>FasceOrarie/fasce-attive</t>
        </is>
      </c>
      <c r="E15" s="16" t="inlineStr">
        <is>
          <t>Fasce attive</t>
        </is>
      </c>
      <c r="F15" s="24" t="inlineStr">
        <is>
          <t>useFasceOrarie.ts</t>
        </is>
      </c>
    </row>
    <row r="16">
      <c r="A16" s="24" t="inlineStr">
        <is>
          <t>useAllFasceOrarie</t>
        </is>
      </c>
      <c r="B16" s="24" t="inlineStr">
        <is>
          <t>Fasce orarie</t>
        </is>
      </c>
      <c r="C16" s="24" t="inlineStr">
        <is>
          <t>GET</t>
        </is>
      </c>
      <c r="D16" s="16" t="inlineStr">
        <is>
          <t>FasceOrarie/get-all-fasce</t>
        </is>
      </c>
      <c r="E16" s="16" t="inlineStr">
        <is>
          <t>Tutte le fasce</t>
        </is>
      </c>
      <c r="F16" s="24" t="inlineStr">
        <is>
          <t>useFasceOrarie.ts</t>
        </is>
      </c>
    </row>
    <row r="17">
      <c r="A17" s="24" t="inlineStr">
        <is>
          <t>useFascePerGiorno</t>
        </is>
      </c>
      <c r="B17" s="24" t="inlineStr">
        <is>
          <t>Fasce orarie</t>
        </is>
      </c>
      <c r="C17" s="24" t="inlineStr">
        <is>
          <t>GET</t>
        </is>
      </c>
      <c r="D17" s="16" t="inlineStr">
        <is>
          <t>FasceOrarie/fasce-per-giorno</t>
        </is>
      </c>
      <c r="E17" s="16" t="inlineStr">
        <is>
          <t>Fasce di un giorno</t>
        </is>
      </c>
      <c r="F17" s="24" t="inlineStr">
        <is>
          <t>useFasceOrarie.ts</t>
        </is>
      </c>
    </row>
    <row r="18">
      <c r="A18" s="24" t="inlineStr">
        <is>
          <t>useCreaFasciaOraria</t>
        </is>
      </c>
      <c r="B18" s="24" t="inlineStr">
        <is>
          <t>Fasce orarie</t>
        </is>
      </c>
      <c r="C18" s="24" t="inlineStr">
        <is>
          <t>POST</t>
        </is>
      </c>
      <c r="D18" s="16" t="inlineStr">
        <is>
          <t>FasceOrarie/crea-fascia</t>
        </is>
      </c>
      <c r="E18" s="16" t="inlineStr">
        <is>
          <t>Crea una fascia</t>
        </is>
      </c>
      <c r="F18" s="24" t="inlineStr">
        <is>
          <t>useFasceOrarie.ts</t>
        </is>
      </c>
    </row>
    <row r="19">
      <c r="A19" s="24" t="inlineStr">
        <is>
          <t>useUpdateFasciaOraria</t>
        </is>
      </c>
      <c r="B19" s="24" t="inlineStr">
        <is>
          <t>Fasce orarie</t>
        </is>
      </c>
      <c r="C19" s="24" t="inlineStr">
        <is>
          <t>PUT</t>
        </is>
      </c>
      <c r="D19" s="16" t="inlineStr">
        <is>
          <t>FasceOrarie/update-fascia</t>
        </is>
      </c>
      <c r="E19" s="16" t="inlineStr">
        <is>
          <t>Modifica una fascia</t>
        </is>
      </c>
      <c r="F19" s="24" t="inlineStr">
        <is>
          <t>useFasceOrarie.ts</t>
        </is>
      </c>
    </row>
    <row r="20">
      <c r="A20" s="24" t="inlineStr">
        <is>
          <t>useDeleteFasciaOraria</t>
        </is>
      </c>
      <c r="B20" s="24" t="inlineStr">
        <is>
          <t>Fasce orarie</t>
        </is>
      </c>
      <c r="C20" s="24" t="inlineStr">
        <is>
          <t>DELETE</t>
        </is>
      </c>
      <c r="D20" s="16" t="inlineStr">
        <is>
          <t>FasceOrarie/delete-fascia</t>
        </is>
      </c>
      <c r="E20" s="16" t="inlineStr">
        <is>
          <t>Elimina una fascia</t>
        </is>
      </c>
      <c r="F20" s="24" t="inlineStr">
        <is>
          <t>useFasceOrarie.ts</t>
        </is>
      </c>
    </row>
    <row r="21">
      <c r="A21" s="24" t="inlineStr">
        <is>
          <t>usePrenotazioni</t>
        </is>
      </c>
      <c r="B21" s="24" t="inlineStr">
        <is>
          <t>Prenotazioni</t>
        </is>
      </c>
      <c r="C21" s="24" t="inlineStr">
        <is>
          <t>GET</t>
        </is>
      </c>
      <c r="D21" s="16" t="inlineStr">
        <is>
          <t>Prenotazione/get-all-prenotazioni o get-mie-prenotazioni</t>
        </is>
      </c>
      <c r="E21" s="16" t="inlineStr">
        <is>
          <t>Elenco (il Cliente vede solo le sue)</t>
        </is>
      </c>
      <c r="F21" s="24" t="inlineStr">
        <is>
          <t>usePrenotazioni.ts</t>
        </is>
      </c>
    </row>
    <row r="22">
      <c r="A22" s="24" t="inlineStr">
        <is>
          <t>useCreaPrenotazione</t>
        </is>
      </c>
      <c r="B22" s="24" t="inlineStr">
        <is>
          <t>Prenotazioni</t>
        </is>
      </c>
      <c r="C22" s="24" t="inlineStr">
        <is>
          <t>POST</t>
        </is>
      </c>
      <c r="D22" s="16" t="inlineStr">
        <is>
          <t>Prenotazione/crea-prenotazione</t>
        </is>
      </c>
      <c r="E22" s="16" t="inlineStr">
        <is>
          <t>Crea una prenotazione</t>
        </is>
      </c>
      <c r="F22" s="24" t="inlineStr">
        <is>
          <t>usePrenotazioni.ts</t>
        </is>
      </c>
    </row>
    <row r="23">
      <c r="A23" s="24" t="inlineStr">
        <is>
          <t>useModificaPrenotazione</t>
        </is>
      </c>
      <c r="B23" s="24" t="inlineStr">
        <is>
          <t>Prenotazioni</t>
        </is>
      </c>
      <c r="C23" s="24" t="inlineStr">
        <is>
          <t>PUT</t>
        </is>
      </c>
      <c r="D23" s="16" t="inlineStr">
        <is>
          <t>Prenotazione/update-prenotazione</t>
        </is>
      </c>
      <c r="E23" s="16" t="inlineStr">
        <is>
          <t>Modifica una prenotazione</t>
        </is>
      </c>
      <c r="F23" s="24" t="inlineStr">
        <is>
          <t>usePrenotazioni.ts</t>
        </is>
      </c>
    </row>
    <row r="24">
      <c r="A24" s="24" t="inlineStr">
        <is>
          <t>useConfermaPrenotazione</t>
        </is>
      </c>
      <c r="B24" s="24" t="inlineStr">
        <is>
          <t>Prenotazioni</t>
        </is>
      </c>
      <c r="C24" s="24" t="inlineStr">
        <is>
          <t>PATCH</t>
        </is>
      </c>
      <c r="D24" s="16" t="inlineStr">
        <is>
          <t>Prenotazione/conferma-prenotazione</t>
        </is>
      </c>
      <c r="E24" s="16" t="inlineStr">
        <is>
          <t>Cliente arrivato</t>
        </is>
      </c>
      <c r="F24" s="24" t="inlineStr">
        <is>
          <t>usePrenotazioni.ts</t>
        </is>
      </c>
    </row>
    <row r="25">
      <c r="A25" s="24" t="inlineStr">
        <is>
          <t>useCompletaPrenotazione</t>
        </is>
      </c>
      <c r="B25" s="24" t="inlineStr">
        <is>
          <t>Prenotazioni</t>
        </is>
      </c>
      <c r="C25" s="24" t="inlineStr">
        <is>
          <t>PATCH</t>
        </is>
      </c>
      <c r="D25" s="16" t="inlineStr">
        <is>
          <t>Prenotazione/completa-prenotazione</t>
        </is>
      </c>
      <c r="E25" s="16" t="inlineStr">
        <is>
          <t>Chiude la prenotazione</t>
        </is>
      </c>
      <c r="F25" s="24" t="inlineStr">
        <is>
          <t>usePrenotazioni.ts</t>
        </is>
      </c>
    </row>
    <row r="26">
      <c r="A26" s="24" t="inlineStr">
        <is>
          <t>useAnnullaPrenotazione</t>
        </is>
      </c>
      <c r="B26" s="24" t="inlineStr">
        <is>
          <t>Prenotazioni</t>
        </is>
      </c>
      <c r="C26" s="24" t="inlineStr">
        <is>
          <t>PATCH</t>
        </is>
      </c>
      <c r="D26" s="16" t="inlineStr">
        <is>
          <t>Prenotazione/annulla-prenotazione</t>
        </is>
      </c>
      <c r="E26" s="16" t="inlineStr">
        <is>
          <t>Annulla la prenotazione</t>
        </is>
      </c>
      <c r="F26" s="24" t="inlineStr">
        <is>
          <t>usePrenotazioni.ts</t>
        </is>
      </c>
    </row>
    <row r="27">
      <c r="A27" s="24" t="inlineStr">
        <is>
          <t>useDeletePrenotazione</t>
        </is>
      </c>
      <c r="B27" s="24" t="inlineStr">
        <is>
          <t>Prenotazioni</t>
        </is>
      </c>
      <c r="C27" s="24" t="inlineStr">
        <is>
          <t>DELETE</t>
        </is>
      </c>
      <c r="D27" s="16" t="inlineStr">
        <is>
          <t>Prenotazione/delete-prenotazione</t>
        </is>
      </c>
      <c r="E27" s="16" t="inlineStr">
        <is>
          <t>Elimina un'annullata</t>
        </is>
      </c>
      <c r="F27" s="24" t="inlineStr">
        <is>
          <t>usePrenotazioni.ts</t>
        </is>
      </c>
    </row>
    <row r="28">
      <c r="A28" s="24" t="inlineStr">
        <is>
          <t>useCheckDisponibilita</t>
        </is>
      </c>
      <c r="B28" s="24" t="inlineStr">
        <is>
          <t>Disponibilità</t>
        </is>
      </c>
      <c r="C28" s="24" t="inlineStr">
        <is>
          <t>POST</t>
        </is>
      </c>
      <c r="D28" s="16" t="inlineStr">
        <is>
          <t>Prenotazione/check-disponibilita</t>
        </is>
      </c>
      <c r="E28" s="16" t="inlineStr">
        <is>
          <t>C'è posto? (anche senza login)</t>
        </is>
      </c>
      <c r="F28" s="24" t="inlineStr">
        <is>
          <t>useDisponibilita.ts</t>
        </is>
      </c>
    </row>
    <row r="29">
      <c r="A29" s="24" t="inlineStr">
        <is>
          <t>useDashboardGiornaliera</t>
        </is>
      </c>
      <c r="B29" s="24" t="inlineStr">
        <is>
          <t>Dashboard</t>
        </is>
      </c>
      <c r="C29" s="24" t="inlineStr">
        <is>
          <t>GET</t>
        </is>
      </c>
      <c r="D29" s="16" t="inlineStr">
        <is>
          <t>Dashboard/giornaliera</t>
        </is>
      </c>
      <c r="E29" s="16" t="inlineStr">
        <is>
          <t>Numeri di un giorno</t>
        </is>
      </c>
      <c r="F29" s="24" t="inlineStr">
        <is>
          <t>useDashboard.ts</t>
        </is>
      </c>
    </row>
    <row r="30">
      <c r="A30" s="24" t="inlineStr">
        <is>
          <t>useDashboardSettimanale</t>
        </is>
      </c>
      <c r="B30" s="24" t="inlineStr">
        <is>
          <t>Dashboard</t>
        </is>
      </c>
      <c r="C30" s="24" t="inlineStr">
        <is>
          <t>GET</t>
        </is>
      </c>
      <c r="D30" s="16" t="inlineStr">
        <is>
          <t>Dashboard/settimanale</t>
        </is>
      </c>
      <c r="E30" s="16" t="inlineStr">
        <is>
          <t>Numeri di 7 giorni</t>
        </is>
      </c>
      <c r="F30" s="24" t="inlineStr">
        <is>
          <t>useDashboard.ts</t>
        </is>
      </c>
    </row>
    <row r="31">
      <c r="A31" s="24" t="inlineStr">
        <is>
          <t>useUtenti</t>
        </is>
      </c>
      <c r="B31" s="24" t="inlineStr">
        <is>
          <t>Utenti</t>
        </is>
      </c>
      <c r="C31" s="24" t="inlineStr">
        <is>
          <t>GET</t>
        </is>
      </c>
      <c r="D31" s="16" t="inlineStr">
        <is>
          <t>AuthenticationUser/get-users</t>
        </is>
      </c>
      <c r="E31" s="16" t="inlineStr">
        <is>
          <t>Elenco utenti</t>
        </is>
      </c>
      <c r="F31" s="24" t="inlineStr">
        <is>
          <t>useAdminUtenti.ts</t>
        </is>
      </c>
    </row>
    <row r="32">
      <c r="A32" s="24" t="inlineStr">
        <is>
          <t>useCreateUser</t>
        </is>
      </c>
      <c r="B32" s="24" t="inlineStr">
        <is>
          <t>Utenti</t>
        </is>
      </c>
      <c r="C32" s="24" t="inlineStr">
        <is>
          <t>POST</t>
        </is>
      </c>
      <c r="D32" s="16" t="inlineStr">
        <is>
          <t>register + get-users + assign-role</t>
        </is>
      </c>
      <c r="E32" s="16" t="inlineStr">
        <is>
          <t>Crea utente e gli dà il ruolo (3 chiamate)</t>
        </is>
      </c>
      <c r="F32" s="24" t="inlineStr">
        <is>
          <t>useAdminUtenti.ts</t>
        </is>
      </c>
    </row>
    <row r="33">
      <c r="A33" s="24" t="inlineStr">
        <is>
          <t>useUpdateUser</t>
        </is>
      </c>
      <c r="B33" s="24" t="inlineStr">
        <is>
          <t>Utenti</t>
        </is>
      </c>
      <c r="C33" s="24" t="inlineStr">
        <is>
          <t>PUT</t>
        </is>
      </c>
      <c r="D33" s="16" t="inlineStr">
        <is>
          <t>AuthenticationUser/update-user/{id}</t>
        </is>
      </c>
      <c r="E33" s="16" t="inlineStr">
        <is>
          <t>Modifica un utente</t>
        </is>
      </c>
      <c r="F33" s="24" t="inlineStr">
        <is>
          <t>useAdminUtenti.ts</t>
        </is>
      </c>
    </row>
    <row r="34">
      <c r="A34" s="24" t="inlineStr">
        <is>
          <t>useDeleteUser</t>
        </is>
      </c>
      <c r="B34" s="24" t="inlineStr">
        <is>
          <t>Utenti</t>
        </is>
      </c>
      <c r="C34" s="24" t="inlineStr">
        <is>
          <t>DELETE</t>
        </is>
      </c>
      <c r="D34" s="16" t="inlineStr">
        <is>
          <t>AuthenticationUser/delete-user/{id}</t>
        </is>
      </c>
      <c r="E34" s="16" t="inlineStr">
        <is>
          <t>Elimina un utente</t>
        </is>
      </c>
      <c r="F34" s="24" t="inlineStr">
        <is>
          <t>useAdminUtenti.ts</t>
        </is>
      </c>
    </row>
    <row r="35">
      <c r="A35" s="24" t="inlineStr">
        <is>
          <t>useAssignRole</t>
        </is>
      </c>
      <c r="B35" s="24" t="inlineStr">
        <is>
          <t>Utenti</t>
        </is>
      </c>
      <c r="C35" s="24" t="inlineStr">
        <is>
          <t>POST</t>
        </is>
      </c>
      <c r="D35" s="16" t="inlineStr">
        <is>
          <t>AuthenticationUser/assign-role</t>
        </is>
      </c>
      <c r="E35" s="16" t="inlineStr">
        <is>
          <t>Dà un ruolo</t>
        </is>
      </c>
      <c r="F35" s="24" t="inlineStr">
        <is>
          <t>useAdminUtenti.ts</t>
        </is>
      </c>
    </row>
    <row r="36">
      <c r="A36" s="24" t="inlineStr">
        <is>
          <t>useRemoveRole</t>
        </is>
      </c>
      <c r="B36" s="24" t="inlineStr">
        <is>
          <t>Utenti</t>
        </is>
      </c>
      <c r="C36" s="24" t="inlineStr">
        <is>
          <t>DELETE</t>
        </is>
      </c>
      <c r="D36" s="16" t="inlineStr">
        <is>
          <t>AuthenticationUser/remove-role</t>
        </is>
      </c>
      <c r="E36" s="16" t="inlineStr">
        <is>
          <t>Toglie un ruolo</t>
        </is>
      </c>
      <c r="F36" s="24" t="inlineStr">
        <is>
          <t>useAdminUtenti.ts</t>
        </is>
      </c>
    </row>
    <row r="37">
      <c r="A37" s="24" t="inlineStr">
        <is>
          <t>useResetPassword</t>
        </is>
      </c>
      <c r="B37" s="24" t="inlineStr">
        <is>
          <t>Utenti</t>
        </is>
      </c>
      <c r="C37" s="24" t="inlineStr">
        <is>
          <t>POST</t>
        </is>
      </c>
      <c r="D37" s="16" t="inlineStr">
        <is>
          <t>AuthenticationUser/reset-password/{id}</t>
        </is>
      </c>
      <c r="E37" s="16" t="inlineStr">
        <is>
          <t>Nuova password</t>
        </is>
      </c>
      <c r="F37" s="24" t="inlineStr">
        <is>
          <t>useAdminUtenti.ts</t>
        </is>
      </c>
    </row>
    <row r="38">
      <c r="A38" s="24" t="inlineStr">
        <is>
          <t>useSetupStato</t>
        </is>
      </c>
      <c r="B38" s="24" t="inlineStr">
        <is>
          <t>Primo avvio</t>
        </is>
      </c>
      <c r="C38" s="24" t="inlineStr">
        <is>
          <t>GET</t>
        </is>
      </c>
      <c r="D38" s="16" t="inlineStr">
        <is>
          <t>Setup/stato</t>
        </is>
      </c>
      <c r="E38" s="16" t="inlineStr">
        <is>
          <t>Esiste già un Admin?</t>
        </is>
      </c>
      <c r="F38" s="24" t="inlineStr">
        <is>
          <t>useSetup.ts</t>
        </is>
      </c>
    </row>
    <row r="39">
      <c r="A39" s="24" t="inlineStr">
        <is>
          <t>useCreaPrimoAdmin</t>
        </is>
      </c>
      <c r="B39" s="24" t="inlineStr">
        <is>
          <t>Primo avvio</t>
        </is>
      </c>
      <c r="C39" s="24" t="inlineStr">
        <is>
          <t>POST</t>
        </is>
      </c>
      <c r="D39" s="16" t="inlineStr">
        <is>
          <t>Setup/admin</t>
        </is>
      </c>
      <c r="E39" s="16" t="inlineStr">
        <is>
          <t>Crea il primo Admin</t>
        </is>
      </c>
      <c r="F39" s="24" t="inlineStr">
        <is>
          <t>useSetup.ts</t>
        </is>
      </c>
    </row>
    <row r="40">
      <c r="A40" s="24" t="inlineStr">
        <is>
          <t>(chiamata diretta)</t>
        </is>
      </c>
      <c r="B40" s="24" t="inlineStr">
        <is>
          <t>Accesso</t>
        </is>
      </c>
      <c r="C40" s="24" t="inlineStr">
        <is>
          <t>POST</t>
        </is>
      </c>
      <c r="D40" s="16" t="inlineStr">
        <is>
          <t>AuthenticationUser/login</t>
        </is>
      </c>
      <c r="E40" s="16" t="inlineStr">
        <is>
          <t>Login</t>
        </is>
      </c>
      <c r="F40" s="24" t="inlineStr">
        <is>
          <t>LoginPage / RegisterPage</t>
        </is>
      </c>
    </row>
    <row r="41">
      <c r="A41" s="24" t="inlineStr">
        <is>
          <t>(chiamata diretta)</t>
        </is>
      </c>
      <c r="B41" s="24" t="inlineStr">
        <is>
          <t>Accesso</t>
        </is>
      </c>
      <c r="C41" s="24" t="inlineStr">
        <is>
          <t>POST</t>
        </is>
      </c>
      <c r="D41" s="16" t="inlineStr">
        <is>
          <t>AuthenticationUser/register</t>
        </is>
      </c>
      <c r="E41" s="16" t="inlineStr">
        <is>
          <t>Registrazione</t>
        </is>
      </c>
      <c r="F41" s="24" t="inlineStr">
        <is>
          <t>LoginPage / RegisterPage</t>
        </is>
      </c>
    </row>
    <row r="42">
      <c r="A42" s="24" t="inlineStr">
        <is>
          <t>useAuth</t>
        </is>
      </c>
      <c r="B42" s="24" t="inlineStr">
        <is>
          <t>Altro</t>
        </is>
      </c>
      <c r="C42" s="24" t="inlineStr">
        <is>
          <t>—</t>
        </is>
      </c>
      <c r="D42" s="16" t="inlineStr">
        <is>
          <t>—</t>
        </is>
      </c>
      <c r="E42" s="16" t="inlineStr">
        <is>
          <t>Utente collegato, ruoli, login e logout</t>
        </is>
      </c>
      <c r="F42" s="24" t="inlineStr">
        <is>
          <t>useAuth.ts / useTheme.ts</t>
        </is>
      </c>
    </row>
    <row r="43">
      <c r="A43" s="24" t="inlineStr">
        <is>
          <t>useTheme</t>
        </is>
      </c>
      <c r="B43" s="24" t="inlineStr">
        <is>
          <t>Altro</t>
        </is>
      </c>
      <c r="C43" s="24" t="inlineStr">
        <is>
          <t>—</t>
        </is>
      </c>
      <c r="D43" s="16" t="inlineStr">
        <is>
          <t>—</t>
        </is>
      </c>
      <c r="E43" s="16" t="inlineStr">
        <is>
          <t>Tema chiaro o scuro</t>
        </is>
      </c>
      <c r="F43" s="24" t="inlineStr">
        <is>
          <t>useAuth.ts / useTheme.ts</t>
        </is>
      </c>
    </row>
  </sheetData>
  <mergeCells count="1">
    <mergeCell ref="A1:F1"/>
  </mergeCells>
  <conditionalFormatting sqref="C5:C1000">
    <cfRule type="expression" priority="1" dxfId="0">
      <formula>$C5="GET"</formula>
    </cfRule>
    <cfRule type="expression" priority="2" dxfId="2">
      <formula>$C5="POST"</formula>
    </cfRule>
    <cfRule type="expression" priority="3" dxfId="4">
      <formula>$C5="PUT"</formula>
    </cfRule>
    <cfRule type="expression" priority="4" dxfId="3">
      <formula>$C5="PATCH"</formula>
    </cfRule>
    <cfRule type="expression" priority="5" dxfId="5">
      <formula>$C5="DELETE"</formula>
    </cfRule>
  </conditionalFormatting>
  <hyperlinks>
    <hyperlink ref="F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2E7D32"/>
    <outlinePr summaryBelow="1" summaryRight="1"/>
    <pageSetUpPr/>
  </sheetPr>
  <dimension ref="A1:C1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80" customWidth="1" min="3" max="3"/>
  </cols>
  <sheetData>
    <row r="1" ht="34" customHeight="1">
      <c r="A1" s="28" t="inlineStr">
        <is>
          <t>FE · ACCESSO E PERMESSI NEL FRONTEND</t>
        </is>
      </c>
      <c r="B1" s="29" t="n"/>
      <c r="C1" s="29" t="n"/>
    </row>
    <row r="2" ht="20" customHeight="1">
      <c r="A2" s="3" t="inlineStr">
        <is>
          <t>Il frontend nasconde e reindirizza; il vero controllo dei permessi lo fa sempre il backend.</t>
        </is>
      </c>
      <c r="C2" s="22" t="inlineStr">
        <is>
          <t>← Torna alla Dashboard</t>
        </is>
      </c>
    </row>
    <row r="4" ht="24" customHeight="1">
      <c r="A4" s="23" t="inlineStr">
        <is>
          <t>Voce</t>
        </is>
      </c>
      <c r="B4" s="23" t="inlineStr">
        <is>
          <t>Dove</t>
        </is>
      </c>
      <c r="C4" s="23" t="inlineStr">
        <is>
          <t>Come funziona</t>
        </is>
      </c>
    </row>
    <row r="5">
      <c r="A5" s="24" t="inlineStr">
        <is>
          <t>Token</t>
        </is>
      </c>
      <c r="B5" s="24" t="inlineStr">
        <is>
          <t>src/context/AuthContext.tsx</t>
        </is>
      </c>
      <c r="C5" s="16" t="inlineStr">
        <is>
          <t>Salvato in localStorage dopo il login, tolto al logout</t>
        </is>
      </c>
    </row>
    <row r="6">
      <c r="A6" s="24" t="inlineStr">
        <is>
          <t>Lettura del token</t>
        </is>
      </c>
      <c r="B6" s="24" t="inlineStr">
        <is>
          <t>src/lib/jwt.ts</t>
        </is>
      </c>
      <c r="C6" s="16" t="inlineStr">
        <is>
          <t>Legge ruoli e scadenza dal token (senza verificarlo: lo fa il backend)</t>
        </is>
      </c>
    </row>
    <row r="7">
      <c r="A7" s="24" t="inlineStr">
        <is>
          <t>Ruoli</t>
        </is>
      </c>
      <c r="B7" s="24" t="inlineStr">
        <is>
          <t>src/context/AuthContext.tsx</t>
        </is>
      </c>
      <c r="C7" s="16" t="inlineStr">
        <is>
          <t>Sempre trattati come elenco: un utente può averne più di uno</t>
        </is>
      </c>
    </row>
    <row r="8">
      <c r="A8" s="24" t="inlineStr">
        <is>
          <t>Allegare il token</t>
        </is>
      </c>
      <c r="B8" s="24" t="inlineStr">
        <is>
          <t>src/lib/axios.ts</t>
        </is>
      </c>
      <c r="C8" s="16" t="inlineStr">
        <is>
          <t>Aggiunto a ogni chiamata, tranne login e registrazione</t>
        </is>
      </c>
    </row>
    <row r="9">
      <c r="A9" s="24" t="inlineStr">
        <is>
          <t>Sessione scaduta</t>
        </is>
      </c>
      <c r="B9" s="24" t="inlineStr">
        <is>
          <t>src/lib/axios.ts + session.ts</t>
        </is>
      </c>
      <c r="C9" s="16" t="inlineStr">
        <is>
          <t>Su 401 toglie il token e mostra un solo avviso, poi porta al login</t>
        </is>
      </c>
    </row>
    <row r="10">
      <c r="A10" s="24" t="inlineStr">
        <is>
          <t>Pagine riservate</t>
        </is>
      </c>
      <c r="B10" s="24" t="inlineStr">
        <is>
          <t>src/router/ProtectedRoute.tsx</t>
        </is>
      </c>
      <c r="C10" s="16" t="inlineStr">
        <is>
          <t>Non collegato → /login; ruolo sbagliato → /unauthorized</t>
        </is>
      </c>
    </row>
    <row r="11">
      <c r="A11" s="24" t="inlineStr">
        <is>
          <t>Primo avvio</t>
        </is>
      </c>
      <c r="B11" s="24" t="inlineStr">
        <is>
          <t>src/router/SetupGuard.tsx</t>
        </is>
      </c>
      <c r="C11" s="16" t="inlineStr">
        <is>
          <t>Se non c'è un Admin manda a /setup</t>
        </is>
      </c>
    </row>
    <row r="12">
      <c r="A12" s="24" t="inlineStr">
        <is>
          <t>Già collegato</t>
        </is>
      </c>
      <c r="B12" s="24" t="inlineStr">
        <is>
          <t>src/router/RedirectSeAutenticato.tsx</t>
        </is>
      </c>
      <c r="C12" s="16" t="inlineStr">
        <is>
          <t>Da / o /login manda alla pagina giusta per il ruolo</t>
        </is>
      </c>
    </row>
    <row r="13">
      <c r="A13" s="24" t="inlineStr">
        <is>
          <t>Pagina di casa</t>
        </is>
      </c>
      <c r="B13" s="24" t="inlineStr">
        <is>
          <t>src/lib/navigazione.ts</t>
        </is>
      </c>
      <c r="C13" s="16" t="inlineStr">
        <is>
          <t>Sceglie la pagina iniziale in base al ruolo</t>
        </is>
      </c>
    </row>
    <row r="14">
      <c r="A14" s="24" t="inlineStr">
        <is>
          <t>Menu</t>
        </is>
      </c>
      <c r="B14" s="24" t="inlineStr">
        <is>
          <t>src/layouts/AppLayout.tsx</t>
        </is>
      </c>
      <c r="C14" s="16" t="inlineStr">
        <is>
          <t>Mostra solo le voci permesse al ruolo</t>
        </is>
      </c>
    </row>
    <row r="15">
      <c r="A15" s="24" t="inlineStr">
        <is>
          <t>Nuovi tentativi</t>
        </is>
      </c>
      <c r="B15" s="24" t="inlineStr">
        <is>
          <t>src/lib/queryClient.ts</t>
        </is>
      </c>
      <c r="C15" s="16" t="inlineStr">
        <is>
          <t>Nessun nuovo tentativo su errori 4xx e sulle modifiche</t>
        </is>
      </c>
    </row>
    <row r="16">
      <c r="A16" s="24" t="inlineStr">
        <is>
          <t>Pagina pubblica</t>
        </is>
      </c>
      <c r="B16" s="24" t="inlineStr">
        <is>
          <t>LandingPage</t>
        </is>
      </c>
      <c r="C16" s="16" t="inlineStr">
        <is>
          <t>Senza token: chiama solo check-disponibilita</t>
        </is>
      </c>
    </row>
    <row r="17">
      <c r="A17" s="24" t="inlineStr">
        <is>
          <t>Indirizzo API</t>
        </is>
      </c>
      <c r="B17" s="24" t="inlineStr">
        <is>
          <t>VITE_API_URL</t>
        </is>
      </c>
      <c r="C17" s="16" t="inlineStr">
        <is>
          <t>Locale da .env.local, produzione dal pannello Vercel (tipo Config)</t>
        </is>
      </c>
    </row>
  </sheetData>
  <mergeCells count="1">
    <mergeCell ref="A1:C1"/>
  </mergeCells>
  <hyperlinks>
    <hyperlink ref="C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2E7D32"/>
    <outlinePr summaryBelow="1" summaryRight="1"/>
    <pageSetUpPr/>
  </sheetPr>
  <dimension ref="A1:C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64" customWidth="1" min="2" max="2"/>
    <col width="10" customWidth="1" min="3" max="3"/>
  </cols>
  <sheetData>
    <row r="1" ht="34" customHeight="1">
      <c r="A1" s="28" t="inlineStr">
        <is>
          <t>FE · TEST — Vitest + Testing Library</t>
        </is>
      </c>
      <c r="B1" s="29" t="n"/>
      <c r="C1" s="29" t="n"/>
    </row>
    <row r="2" ht="20" customHeight="1">
      <c r="A2" s="3" t="inlineStr">
        <is>
          <t>Si lanciano da gestora-frontend con: npm test. I file stanno nelle cartelle __tests__.</t>
        </is>
      </c>
      <c r="C2" s="22" t="inlineStr">
        <is>
          <t>← Torna alla Dashboard</t>
        </is>
      </c>
    </row>
    <row r="3">
      <c r="A3" s="25" t="inlineStr">
        <is>
          <t>Totale test:</t>
        </is>
      </c>
      <c r="B3" s="30">
        <f>SUM(C5:C1000)</f>
        <v/>
      </c>
    </row>
    <row r="4" ht="24" customHeight="1">
      <c r="A4" s="23" t="inlineStr">
        <is>
          <t>File di test</t>
        </is>
      </c>
      <c r="B4" s="23" t="inlineStr">
        <is>
          <t>Cosa prova</t>
        </is>
      </c>
      <c r="C4" s="23" t="inlineStr">
        <is>
          <t>N. test</t>
        </is>
      </c>
    </row>
    <row r="5">
      <c r="A5" s="24" t="inlineStr">
        <is>
          <t>AzioniPrenotazione.test.tsx</t>
        </is>
      </c>
      <c r="B5" s="16" t="inlineStr">
        <is>
          <t>Pulsanti delle prenotazioni: compaiono solo quando permessi</t>
        </is>
      </c>
      <c r="C5" s="24" t="n">
        <v>16</v>
      </c>
    </row>
    <row r="6">
      <c r="A6" s="24" t="inlineStr">
        <is>
          <t>apiError.test.ts</t>
        </is>
      </c>
      <c r="B6" s="16" t="inlineStr">
        <is>
          <t>Messaggi di errore leggibili dalle risposte dell'API</t>
        </is>
      </c>
      <c r="C6" s="24" t="n">
        <v>11</v>
      </c>
    </row>
    <row r="7">
      <c r="A7" s="24" t="inlineStr">
        <is>
          <t>jwt.test.ts</t>
        </is>
      </c>
      <c r="B7" s="16" t="inlineStr">
        <is>
          <t>Lettura del token e scadenza</t>
        </is>
      </c>
      <c r="C7" s="24" t="n">
        <v>10</v>
      </c>
    </row>
    <row r="8">
      <c r="A8" s="24" t="inlineStr">
        <is>
          <t>validazioni.test.ts</t>
        </is>
      </c>
      <c r="B8" s="16" t="inlineStr">
        <is>
          <t>Regole di password, nome utente, email, numeri</t>
        </is>
      </c>
      <c r="C8" s="24" t="n">
        <v>8</v>
      </c>
    </row>
    <row r="9">
      <c r="A9" s="24" t="inlineStr">
        <is>
          <t>ProtectedRoute.test.tsx</t>
        </is>
      </c>
      <c r="B9" s="16" t="inlineStr">
        <is>
          <t>Pagine riservate: login e ruoli</t>
        </is>
      </c>
      <c r="C9" s="24" t="n">
        <v>6</v>
      </c>
    </row>
    <row r="10">
      <c r="A10" s="24" t="inlineStr">
        <is>
          <t>PrenotazioneModal.fasce.test.tsx</t>
        </is>
      </c>
      <c r="B10" s="16" t="inlineStr">
        <is>
          <t>Fasce proposte nella finestra prenotazione</t>
        </is>
      </c>
      <c r="C10" s="24" t="n">
        <v>5</v>
      </c>
    </row>
    <row r="11">
      <c r="A11" s="24" t="inlineStr">
        <is>
          <t>navigazione.test.ts</t>
        </is>
      </c>
      <c r="B11" s="16" t="inlineStr">
        <is>
          <t>Pagina iniziale giusta per ogni ruolo</t>
        </is>
      </c>
      <c r="C11" s="24" t="n">
        <v>5</v>
      </c>
    </row>
    <row r="12">
      <c r="A12" s="24" t="inlineStr">
        <is>
          <t>PrenotazionePage.urlParams.test.tsx</t>
        </is>
      </c>
      <c r="B12" s="16" t="inlineStr">
        <is>
          <t>Filtri letti dall'indirizzo della pagina</t>
        </is>
      </c>
      <c r="C12" s="24" t="n">
        <v>2</v>
      </c>
    </row>
    <row r="13">
      <c r="A13" s="24" t="inlineStr">
        <is>
          <t>DashboardPage.dateNav.test.tsx</t>
        </is>
      </c>
      <c r="B13" s="16" t="inlineStr">
        <is>
          <t>Cambio di giorno nella dashboard</t>
        </is>
      </c>
      <c r="C13" s="24" t="n">
        <v>1</v>
      </c>
    </row>
  </sheetData>
  <mergeCells count="1">
    <mergeCell ref="A1:C1"/>
  </mergeCells>
  <hyperlinks>
    <hyperlink ref="C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C55A11"/>
    <outlinePr summaryBelow="1" summaryRight="1"/>
    <pageSetUpPr/>
  </sheetPr>
  <dimension ref="A1:F100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50" customWidth="1" min="4" max="4"/>
    <col width="12" customWidth="1" min="5" max="5"/>
    <col width="40" customWidth="1" min="6" max="6"/>
  </cols>
  <sheetData>
    <row r="1" ht="34" customHeight="1">
      <c r="A1" s="31" t="inlineStr">
        <is>
          <t>APPUNTI E STEP</t>
        </is>
      </c>
      <c r="B1" s="32" t="n"/>
      <c r="C1" s="32" t="n"/>
      <c r="D1" s="32" t="n"/>
      <c r="E1" s="32" t="n"/>
      <c r="F1" s="32" t="n"/>
    </row>
    <row r="2" ht="20" customHeight="1">
      <c r="A2" s="3" t="inlineStr">
        <is>
          <t>Da compilare a mano: una riga per sessione o per passo. Area e Stato hanno il menu a tendina.</t>
        </is>
      </c>
      <c r="F2" s="22" t="inlineStr">
        <is>
          <t>← Torna alla Dashboard</t>
        </is>
      </c>
    </row>
    <row r="4" ht="24" customHeight="1">
      <c r="A4" s="23" t="inlineStr">
        <is>
          <t>Data</t>
        </is>
      </c>
      <c r="B4" s="23" t="inlineStr">
        <is>
          <t>Area</t>
        </is>
      </c>
      <c r="C4" s="23" t="inlineStr">
        <is>
          <t>Cosa si è fatto</t>
        </is>
      </c>
      <c r="D4" s="23" t="inlineStr">
        <is>
          <t>Prossimo passo</t>
        </is>
      </c>
      <c r="E4" s="23" t="inlineStr">
        <is>
          <t>Stato</t>
        </is>
      </c>
      <c r="F4" s="23" t="inlineStr">
        <is>
          <t>Note</t>
        </is>
      </c>
    </row>
    <row r="5">
      <c r="A5" s="27" t="n"/>
      <c r="B5" s="24" t="n"/>
      <c r="C5" s="16" t="n"/>
      <c r="D5" s="16" t="n"/>
      <c r="E5" s="24" t="n"/>
      <c r="F5" s="16" t="n"/>
    </row>
    <row r="6">
      <c r="A6" s="27" t="n"/>
      <c r="B6" s="24" t="n"/>
      <c r="C6" s="16" t="n"/>
      <c r="D6" s="16" t="n"/>
      <c r="E6" s="24" t="n"/>
      <c r="F6" s="16" t="n"/>
    </row>
    <row r="7">
      <c r="A7" s="27" t="n"/>
      <c r="B7" s="24" t="n"/>
      <c r="C7" s="16" t="n"/>
      <c r="D7" s="16" t="n"/>
      <c r="E7" s="24" t="n"/>
      <c r="F7" s="16" t="n"/>
    </row>
    <row r="8">
      <c r="A8" s="27" t="n"/>
      <c r="B8" s="24" t="n"/>
      <c r="C8" s="16" t="n"/>
      <c r="D8" s="16" t="n"/>
      <c r="E8" s="24" t="n"/>
      <c r="F8" s="16" t="n"/>
    </row>
    <row r="9">
      <c r="A9" s="27" t="n"/>
      <c r="B9" s="24" t="n"/>
      <c r="C9" s="16" t="n"/>
      <c r="D9" s="16" t="n"/>
      <c r="E9" s="24" t="n"/>
      <c r="F9" s="16" t="n"/>
    </row>
    <row r="10">
      <c r="A10" s="27" t="n"/>
      <c r="B10" s="24" t="n"/>
      <c r="C10" s="16" t="n"/>
      <c r="D10" s="16" t="n"/>
      <c r="E10" s="24" t="n"/>
      <c r="F10" s="16" t="n"/>
    </row>
    <row r="11">
      <c r="A11" s="27" t="n"/>
      <c r="B11" s="24" t="n"/>
      <c r="C11" s="16" t="n"/>
      <c r="D11" s="16" t="n"/>
      <c r="E11" s="24" t="n"/>
      <c r="F11" s="16" t="n"/>
    </row>
    <row r="12">
      <c r="A12" s="27" t="n"/>
      <c r="B12" s="24" t="n"/>
      <c r="C12" s="16" t="n"/>
      <c r="D12" s="16" t="n"/>
      <c r="E12" s="24" t="n"/>
      <c r="F12" s="16" t="n"/>
    </row>
    <row r="13">
      <c r="A13" s="27" t="n"/>
      <c r="B13" s="24" t="n"/>
      <c r="C13" s="16" t="n"/>
      <c r="D13" s="16" t="n"/>
      <c r="E13" s="24" t="n"/>
      <c r="F13" s="16" t="n"/>
    </row>
    <row r="14">
      <c r="A14" s="27" t="n"/>
      <c r="B14" s="24" t="n"/>
      <c r="C14" s="16" t="n"/>
      <c r="D14" s="16" t="n"/>
      <c r="E14" s="24" t="n"/>
      <c r="F14" s="16" t="n"/>
    </row>
    <row r="15">
      <c r="A15" s="27" t="n"/>
      <c r="B15" s="24" t="n"/>
      <c r="C15" s="16" t="n"/>
      <c r="D15" s="16" t="n"/>
      <c r="E15" s="24" t="n"/>
      <c r="F15" s="16" t="n"/>
    </row>
    <row r="16">
      <c r="A16" s="27" t="n"/>
      <c r="B16" s="24" t="n"/>
      <c r="C16" s="16" t="n"/>
      <c r="D16" s="16" t="n"/>
      <c r="E16" s="24" t="n"/>
      <c r="F16" s="16" t="n"/>
    </row>
    <row r="17">
      <c r="A17" s="27" t="n"/>
      <c r="B17" s="24" t="n"/>
      <c r="C17" s="16" t="n"/>
      <c r="D17" s="16" t="n"/>
      <c r="E17" s="24" t="n"/>
      <c r="F17" s="16" t="n"/>
    </row>
    <row r="18">
      <c r="A18" s="27" t="n"/>
      <c r="B18" s="24" t="n"/>
      <c r="C18" s="16" t="n"/>
      <c r="D18" s="16" t="n"/>
      <c r="E18" s="24" t="n"/>
      <c r="F18" s="16" t="n"/>
    </row>
    <row r="19">
      <c r="A19" s="27" t="n"/>
      <c r="B19" s="24" t="n"/>
      <c r="C19" s="16" t="n"/>
      <c r="D19" s="16" t="n"/>
      <c r="E19" s="24" t="n"/>
      <c r="F19" s="16" t="n"/>
    </row>
    <row r="20">
      <c r="A20" s="27" t="n"/>
      <c r="B20" s="24" t="n"/>
      <c r="C20" s="16" t="n"/>
      <c r="D20" s="16" t="n"/>
      <c r="E20" s="24" t="n"/>
      <c r="F20" s="16" t="n"/>
    </row>
    <row r="21">
      <c r="A21" s="27" t="n"/>
      <c r="B21" s="24" t="n"/>
      <c r="C21" s="16" t="n"/>
      <c r="D21" s="16" t="n"/>
      <c r="E21" s="24" t="n"/>
      <c r="F21" s="16" t="n"/>
    </row>
    <row r="22">
      <c r="A22" s="27" t="n"/>
      <c r="B22" s="24" t="n"/>
      <c r="C22" s="16" t="n"/>
      <c r="D22" s="16" t="n"/>
      <c r="E22" s="24" t="n"/>
      <c r="F22" s="16" t="n"/>
    </row>
    <row r="23">
      <c r="A23" s="27" t="n"/>
      <c r="B23" s="24" t="n"/>
      <c r="C23" s="16" t="n"/>
      <c r="D23" s="16" t="n"/>
      <c r="E23" s="24" t="n"/>
      <c r="F23" s="16" t="n"/>
    </row>
    <row r="24">
      <c r="A24" s="27" t="n"/>
      <c r="B24" s="24" t="n"/>
      <c r="C24" s="16" t="n"/>
      <c r="D24" s="16" t="n"/>
      <c r="E24" s="24" t="n"/>
      <c r="F24" s="16" t="n"/>
    </row>
    <row r="25">
      <c r="A25" s="27" t="n"/>
      <c r="B25" s="24" t="n"/>
      <c r="C25" s="16" t="n"/>
      <c r="D25" s="16" t="n"/>
      <c r="E25" s="24" t="n"/>
      <c r="F25" s="16" t="n"/>
    </row>
    <row r="26">
      <c r="A26" s="27" t="n"/>
      <c r="B26" s="24" t="n"/>
      <c r="C26" s="16" t="n"/>
      <c r="D26" s="16" t="n"/>
      <c r="E26" s="24" t="n"/>
      <c r="F26" s="16" t="n"/>
    </row>
    <row r="27">
      <c r="A27" s="27" t="n"/>
      <c r="B27" s="24" t="n"/>
      <c r="C27" s="16" t="n"/>
      <c r="D27" s="16" t="n"/>
      <c r="E27" s="24" t="n"/>
      <c r="F27" s="16" t="n"/>
    </row>
    <row r="28">
      <c r="A28" s="27" t="n"/>
      <c r="B28" s="24" t="n"/>
      <c r="C28" s="16" t="n"/>
      <c r="D28" s="16" t="n"/>
      <c r="E28" s="24" t="n"/>
      <c r="F28" s="16" t="n"/>
    </row>
    <row r="29">
      <c r="A29" s="27" t="n"/>
      <c r="B29" s="24" t="n"/>
      <c r="C29" s="16" t="n"/>
      <c r="D29" s="16" t="n"/>
      <c r="E29" s="24" t="n"/>
      <c r="F29" s="16" t="n"/>
    </row>
    <row r="30">
      <c r="A30" s="27" t="n"/>
      <c r="B30" s="24" t="n"/>
      <c r="C30" s="16" t="n"/>
      <c r="D30" s="16" t="n"/>
      <c r="E30" s="24" t="n"/>
      <c r="F30" s="16" t="n"/>
    </row>
    <row r="31">
      <c r="A31" s="27" t="n"/>
      <c r="B31" s="24" t="n"/>
      <c r="C31" s="16" t="n"/>
      <c r="D31" s="16" t="n"/>
      <c r="E31" s="24" t="n"/>
      <c r="F31" s="16" t="n"/>
    </row>
    <row r="32">
      <c r="A32" s="27" t="n"/>
      <c r="B32" s="24" t="n"/>
      <c r="C32" s="16" t="n"/>
      <c r="D32" s="16" t="n"/>
      <c r="E32" s="24" t="n"/>
      <c r="F32" s="16" t="n"/>
    </row>
    <row r="33">
      <c r="A33" s="27" t="n"/>
      <c r="B33" s="24" t="n"/>
      <c r="C33" s="16" t="n"/>
      <c r="D33" s="16" t="n"/>
      <c r="E33" s="24" t="n"/>
      <c r="F33" s="16" t="n"/>
    </row>
    <row r="34">
      <c r="A34" s="27" t="n"/>
      <c r="B34" s="24" t="n"/>
      <c r="C34" s="16" t="n"/>
      <c r="D34" s="16" t="n"/>
      <c r="E34" s="24" t="n"/>
      <c r="F34" s="16" t="n"/>
    </row>
    <row r="35">
      <c r="A35" s="33" t="n"/>
    </row>
    <row r="36">
      <c r="A36" s="33" t="n"/>
    </row>
    <row r="37">
      <c r="A37" s="33" t="n"/>
    </row>
    <row r="38">
      <c r="A38" s="33" t="n"/>
    </row>
    <row r="39">
      <c r="A39" s="33" t="n"/>
    </row>
    <row r="40">
      <c r="A40" s="33" t="n"/>
    </row>
    <row r="41">
      <c r="A41" s="33" t="n"/>
    </row>
    <row r="42">
      <c r="A42" s="33" t="n"/>
    </row>
    <row r="43">
      <c r="A43" s="33" t="n"/>
    </row>
    <row r="44">
      <c r="A44" s="33" t="n"/>
    </row>
    <row r="45">
      <c r="A45" s="33" t="n"/>
    </row>
    <row r="46">
      <c r="A46" s="33" t="n"/>
    </row>
    <row r="47">
      <c r="A47" s="33" t="n"/>
    </row>
    <row r="48">
      <c r="A48" s="33" t="n"/>
    </row>
    <row r="49">
      <c r="A49" s="33" t="n"/>
    </row>
    <row r="50">
      <c r="A50" s="33" t="n"/>
    </row>
    <row r="51">
      <c r="A51" s="33" t="n"/>
    </row>
    <row r="52">
      <c r="A52" s="33" t="n"/>
    </row>
    <row r="53">
      <c r="A53" s="33" t="n"/>
    </row>
    <row r="54">
      <c r="A54" s="33" t="n"/>
    </row>
    <row r="55">
      <c r="A55" s="33" t="n"/>
    </row>
    <row r="56">
      <c r="A56" s="33" t="n"/>
    </row>
    <row r="57">
      <c r="A57" s="33" t="n"/>
    </row>
    <row r="58">
      <c r="A58" s="33" t="n"/>
    </row>
    <row r="59">
      <c r="A59" s="33" t="n"/>
    </row>
    <row r="60">
      <c r="A60" s="33" t="n"/>
    </row>
    <row r="61">
      <c r="A61" s="33" t="n"/>
    </row>
    <row r="62">
      <c r="A62" s="33" t="n"/>
    </row>
    <row r="63">
      <c r="A63" s="33" t="n"/>
    </row>
    <row r="64">
      <c r="A64" s="33" t="n"/>
    </row>
    <row r="65">
      <c r="A65" s="33" t="n"/>
    </row>
    <row r="66">
      <c r="A66" s="33" t="n"/>
    </row>
    <row r="67">
      <c r="A67" s="33" t="n"/>
    </row>
    <row r="68">
      <c r="A68" s="33" t="n"/>
    </row>
    <row r="69">
      <c r="A69" s="33" t="n"/>
    </row>
    <row r="70">
      <c r="A70" s="33" t="n"/>
    </row>
    <row r="71">
      <c r="A71" s="33" t="n"/>
    </row>
    <row r="72">
      <c r="A72" s="33" t="n"/>
    </row>
    <row r="73">
      <c r="A73" s="33" t="n"/>
    </row>
    <row r="74">
      <c r="A74" s="33" t="n"/>
    </row>
    <row r="75">
      <c r="A75" s="33" t="n"/>
    </row>
    <row r="76">
      <c r="A76" s="33" t="n"/>
    </row>
    <row r="77">
      <c r="A77" s="33" t="n"/>
    </row>
    <row r="78">
      <c r="A78" s="33" t="n"/>
    </row>
    <row r="79">
      <c r="A79" s="33" t="n"/>
    </row>
    <row r="80">
      <c r="A80" s="33" t="n"/>
    </row>
    <row r="81">
      <c r="A81" s="33" t="n"/>
    </row>
    <row r="82">
      <c r="A82" s="33" t="n"/>
    </row>
    <row r="83">
      <c r="A83" s="33" t="n"/>
    </row>
    <row r="84">
      <c r="A84" s="33" t="n"/>
    </row>
    <row r="85">
      <c r="A85" s="33" t="n"/>
    </row>
    <row r="86">
      <c r="A86" s="33" t="n"/>
    </row>
    <row r="87">
      <c r="A87" s="33" t="n"/>
    </row>
    <row r="88">
      <c r="A88" s="33" t="n"/>
    </row>
    <row r="89">
      <c r="A89" s="33" t="n"/>
    </row>
    <row r="90">
      <c r="A90" s="33" t="n"/>
    </row>
    <row r="91">
      <c r="A91" s="33" t="n"/>
    </row>
    <row r="92">
      <c r="A92" s="33" t="n"/>
    </row>
    <row r="93">
      <c r="A93" s="33" t="n"/>
    </row>
    <row r="94">
      <c r="A94" s="33" t="n"/>
    </row>
    <row r="95">
      <c r="A95" s="33" t="n"/>
    </row>
    <row r="96">
      <c r="A96" s="33" t="n"/>
    </row>
    <row r="97">
      <c r="A97" s="33" t="n"/>
    </row>
    <row r="98">
      <c r="A98" s="33" t="n"/>
    </row>
    <row r="99">
      <c r="A99" s="33" t="n"/>
    </row>
    <row r="100">
      <c r="A100" s="33" t="n"/>
    </row>
    <row r="101">
      <c r="A101" s="33" t="n"/>
    </row>
    <row r="102">
      <c r="A102" s="33" t="n"/>
    </row>
    <row r="103">
      <c r="A103" s="33" t="n"/>
    </row>
    <row r="104">
      <c r="A104" s="33" t="n"/>
    </row>
    <row r="105">
      <c r="A105" s="33" t="n"/>
    </row>
    <row r="106">
      <c r="A106" s="33" t="n"/>
    </row>
    <row r="107">
      <c r="A107" s="33" t="n"/>
    </row>
    <row r="108">
      <c r="A108" s="33" t="n"/>
    </row>
    <row r="109">
      <c r="A109" s="33" t="n"/>
    </row>
    <row r="110">
      <c r="A110" s="33" t="n"/>
    </row>
    <row r="111">
      <c r="A111" s="33" t="n"/>
    </row>
    <row r="112">
      <c r="A112" s="33" t="n"/>
    </row>
    <row r="113">
      <c r="A113" s="33" t="n"/>
    </row>
    <row r="114">
      <c r="A114" s="33" t="n"/>
    </row>
    <row r="115">
      <c r="A115" s="33" t="n"/>
    </row>
    <row r="116">
      <c r="A116" s="33" t="n"/>
    </row>
    <row r="117">
      <c r="A117" s="33" t="n"/>
    </row>
    <row r="118">
      <c r="A118" s="33" t="n"/>
    </row>
    <row r="119">
      <c r="A119" s="33" t="n"/>
    </row>
    <row r="120">
      <c r="A120" s="33" t="n"/>
    </row>
    <row r="121">
      <c r="A121" s="33" t="n"/>
    </row>
    <row r="122">
      <c r="A122" s="33" t="n"/>
    </row>
    <row r="123">
      <c r="A123" s="33" t="n"/>
    </row>
    <row r="124">
      <c r="A124" s="33" t="n"/>
    </row>
    <row r="125">
      <c r="A125" s="33" t="n"/>
    </row>
    <row r="126">
      <c r="A126" s="33" t="n"/>
    </row>
    <row r="127">
      <c r="A127" s="33" t="n"/>
    </row>
    <row r="128">
      <c r="A128" s="33" t="n"/>
    </row>
    <row r="129">
      <c r="A129" s="33" t="n"/>
    </row>
    <row r="130">
      <c r="A130" s="33" t="n"/>
    </row>
    <row r="131">
      <c r="A131" s="33" t="n"/>
    </row>
    <row r="132">
      <c r="A132" s="33" t="n"/>
    </row>
    <row r="133">
      <c r="A133" s="33" t="n"/>
    </row>
    <row r="134">
      <c r="A134" s="33" t="n"/>
    </row>
    <row r="135">
      <c r="A135" s="33" t="n"/>
    </row>
    <row r="136">
      <c r="A136" s="33" t="n"/>
    </row>
    <row r="137">
      <c r="A137" s="33" t="n"/>
    </row>
    <row r="138">
      <c r="A138" s="33" t="n"/>
    </row>
    <row r="139">
      <c r="A139" s="33" t="n"/>
    </row>
    <row r="140">
      <c r="A140" s="33" t="n"/>
    </row>
    <row r="141">
      <c r="A141" s="33" t="n"/>
    </row>
    <row r="142">
      <c r="A142" s="33" t="n"/>
    </row>
    <row r="143">
      <c r="A143" s="33" t="n"/>
    </row>
    <row r="144">
      <c r="A144" s="33" t="n"/>
    </row>
    <row r="145">
      <c r="A145" s="33" t="n"/>
    </row>
    <row r="146">
      <c r="A146" s="33" t="n"/>
    </row>
    <row r="147">
      <c r="A147" s="33" t="n"/>
    </row>
    <row r="148">
      <c r="A148" s="33" t="n"/>
    </row>
    <row r="149">
      <c r="A149" s="33" t="n"/>
    </row>
    <row r="150">
      <c r="A150" s="33" t="n"/>
    </row>
    <row r="151">
      <c r="A151" s="33" t="n"/>
    </row>
    <row r="152">
      <c r="A152" s="33" t="n"/>
    </row>
    <row r="153">
      <c r="A153" s="33" t="n"/>
    </row>
    <row r="154">
      <c r="A154" s="33" t="n"/>
    </row>
    <row r="155">
      <c r="A155" s="33" t="n"/>
    </row>
    <row r="156">
      <c r="A156" s="33" t="n"/>
    </row>
    <row r="157">
      <c r="A157" s="33" t="n"/>
    </row>
    <row r="158">
      <c r="A158" s="33" t="n"/>
    </row>
    <row r="159">
      <c r="A159" s="33" t="n"/>
    </row>
    <row r="160">
      <c r="A160" s="33" t="n"/>
    </row>
    <row r="161">
      <c r="A161" s="33" t="n"/>
    </row>
    <row r="162">
      <c r="A162" s="33" t="n"/>
    </row>
    <row r="163">
      <c r="A163" s="33" t="n"/>
    </row>
    <row r="164">
      <c r="A164" s="33" t="n"/>
    </row>
    <row r="165">
      <c r="A165" s="33" t="n"/>
    </row>
    <row r="166">
      <c r="A166" s="33" t="n"/>
    </row>
    <row r="167">
      <c r="A167" s="33" t="n"/>
    </row>
    <row r="168">
      <c r="A168" s="33" t="n"/>
    </row>
    <row r="169">
      <c r="A169" s="33" t="n"/>
    </row>
    <row r="170">
      <c r="A170" s="33" t="n"/>
    </row>
    <row r="171">
      <c r="A171" s="33" t="n"/>
    </row>
    <row r="172">
      <c r="A172" s="33" t="n"/>
    </row>
    <row r="173">
      <c r="A173" s="33" t="n"/>
    </row>
    <row r="174">
      <c r="A174" s="33" t="n"/>
    </row>
    <row r="175">
      <c r="A175" s="33" t="n"/>
    </row>
    <row r="176">
      <c r="A176" s="33" t="n"/>
    </row>
    <row r="177">
      <c r="A177" s="33" t="n"/>
    </row>
    <row r="178">
      <c r="A178" s="33" t="n"/>
    </row>
    <row r="179">
      <c r="A179" s="33" t="n"/>
    </row>
    <row r="180">
      <c r="A180" s="33" t="n"/>
    </row>
    <row r="181">
      <c r="A181" s="33" t="n"/>
    </row>
    <row r="182">
      <c r="A182" s="33" t="n"/>
    </row>
    <row r="183">
      <c r="A183" s="33" t="n"/>
    </row>
    <row r="184">
      <c r="A184" s="33" t="n"/>
    </row>
    <row r="185">
      <c r="A185" s="33" t="n"/>
    </row>
    <row r="186">
      <c r="A186" s="33" t="n"/>
    </row>
    <row r="187">
      <c r="A187" s="33" t="n"/>
    </row>
    <row r="188">
      <c r="A188" s="33" t="n"/>
    </row>
    <row r="189">
      <c r="A189" s="33" t="n"/>
    </row>
    <row r="190">
      <c r="A190" s="33" t="n"/>
    </row>
    <row r="191">
      <c r="A191" s="33" t="n"/>
    </row>
    <row r="192">
      <c r="A192" s="33" t="n"/>
    </row>
    <row r="193">
      <c r="A193" s="33" t="n"/>
    </row>
    <row r="194">
      <c r="A194" s="33" t="n"/>
    </row>
    <row r="195">
      <c r="A195" s="33" t="n"/>
    </row>
    <row r="196">
      <c r="A196" s="33" t="n"/>
    </row>
    <row r="197">
      <c r="A197" s="33" t="n"/>
    </row>
    <row r="198">
      <c r="A198" s="33" t="n"/>
    </row>
    <row r="199">
      <c r="A199" s="33" t="n"/>
    </row>
    <row r="200">
      <c r="A200" s="33" t="n"/>
    </row>
    <row r="201">
      <c r="A201" s="33" t="n"/>
    </row>
    <row r="202">
      <c r="A202" s="33" t="n"/>
    </row>
    <row r="203">
      <c r="A203" s="33" t="n"/>
    </row>
    <row r="204">
      <c r="A204" s="33" t="n"/>
    </row>
    <row r="205">
      <c r="A205" s="33" t="n"/>
    </row>
    <row r="206">
      <c r="A206" s="33" t="n"/>
    </row>
    <row r="207">
      <c r="A207" s="33" t="n"/>
    </row>
    <row r="208">
      <c r="A208" s="33" t="n"/>
    </row>
    <row r="209">
      <c r="A209" s="33" t="n"/>
    </row>
    <row r="210">
      <c r="A210" s="33" t="n"/>
    </row>
    <row r="211">
      <c r="A211" s="33" t="n"/>
    </row>
    <row r="212">
      <c r="A212" s="33" t="n"/>
    </row>
    <row r="213">
      <c r="A213" s="33" t="n"/>
    </row>
    <row r="214">
      <c r="A214" s="33" t="n"/>
    </row>
    <row r="215">
      <c r="A215" s="33" t="n"/>
    </row>
    <row r="216">
      <c r="A216" s="33" t="n"/>
    </row>
    <row r="217">
      <c r="A217" s="33" t="n"/>
    </row>
    <row r="218">
      <c r="A218" s="33" t="n"/>
    </row>
    <row r="219">
      <c r="A219" s="33" t="n"/>
    </row>
    <row r="220">
      <c r="A220" s="33" t="n"/>
    </row>
    <row r="221">
      <c r="A221" s="33" t="n"/>
    </row>
    <row r="222">
      <c r="A222" s="33" t="n"/>
    </row>
    <row r="223">
      <c r="A223" s="33" t="n"/>
    </row>
    <row r="224">
      <c r="A224" s="33" t="n"/>
    </row>
    <row r="225">
      <c r="A225" s="33" t="n"/>
    </row>
    <row r="226">
      <c r="A226" s="33" t="n"/>
    </row>
    <row r="227">
      <c r="A227" s="33" t="n"/>
    </row>
    <row r="228">
      <c r="A228" s="33" t="n"/>
    </row>
    <row r="229">
      <c r="A229" s="33" t="n"/>
    </row>
    <row r="230">
      <c r="A230" s="33" t="n"/>
    </row>
    <row r="231">
      <c r="A231" s="33" t="n"/>
    </row>
    <row r="232">
      <c r="A232" s="33" t="n"/>
    </row>
    <row r="233">
      <c r="A233" s="33" t="n"/>
    </row>
    <row r="234">
      <c r="A234" s="33" t="n"/>
    </row>
    <row r="235">
      <c r="A235" s="33" t="n"/>
    </row>
    <row r="236">
      <c r="A236" s="33" t="n"/>
    </row>
    <row r="237">
      <c r="A237" s="33" t="n"/>
    </row>
    <row r="238">
      <c r="A238" s="33" t="n"/>
    </row>
    <row r="239">
      <c r="A239" s="33" t="n"/>
    </row>
    <row r="240">
      <c r="A240" s="33" t="n"/>
    </row>
    <row r="241">
      <c r="A241" s="33" t="n"/>
    </row>
    <row r="242">
      <c r="A242" s="33" t="n"/>
    </row>
    <row r="243">
      <c r="A243" s="33" t="n"/>
    </row>
    <row r="244">
      <c r="A244" s="33" t="n"/>
    </row>
    <row r="245">
      <c r="A245" s="33" t="n"/>
    </row>
    <row r="246">
      <c r="A246" s="33" t="n"/>
    </row>
    <row r="247">
      <c r="A247" s="33" t="n"/>
    </row>
    <row r="248">
      <c r="A248" s="33" t="n"/>
    </row>
    <row r="249">
      <c r="A249" s="33" t="n"/>
    </row>
    <row r="250">
      <c r="A250" s="33" t="n"/>
    </row>
    <row r="251">
      <c r="A251" s="33" t="n"/>
    </row>
    <row r="252">
      <c r="A252" s="33" t="n"/>
    </row>
    <row r="253">
      <c r="A253" s="33" t="n"/>
    </row>
    <row r="254">
      <c r="A254" s="33" t="n"/>
    </row>
    <row r="255">
      <c r="A255" s="33" t="n"/>
    </row>
    <row r="256">
      <c r="A256" s="33" t="n"/>
    </row>
    <row r="257">
      <c r="A257" s="33" t="n"/>
    </row>
    <row r="258">
      <c r="A258" s="33" t="n"/>
    </row>
    <row r="259">
      <c r="A259" s="33" t="n"/>
    </row>
    <row r="260">
      <c r="A260" s="33" t="n"/>
    </row>
    <row r="261">
      <c r="A261" s="33" t="n"/>
    </row>
    <row r="262">
      <c r="A262" s="33" t="n"/>
    </row>
    <row r="263">
      <c r="A263" s="33" t="n"/>
    </row>
    <row r="264">
      <c r="A264" s="33" t="n"/>
    </row>
    <row r="265">
      <c r="A265" s="33" t="n"/>
    </row>
    <row r="266">
      <c r="A266" s="33" t="n"/>
    </row>
    <row r="267">
      <c r="A267" s="33" t="n"/>
    </row>
    <row r="268">
      <c r="A268" s="33" t="n"/>
    </row>
    <row r="269">
      <c r="A269" s="33" t="n"/>
    </row>
    <row r="270">
      <c r="A270" s="33" t="n"/>
    </row>
    <row r="271">
      <c r="A271" s="33" t="n"/>
    </row>
    <row r="272">
      <c r="A272" s="33" t="n"/>
    </row>
    <row r="273">
      <c r="A273" s="33" t="n"/>
    </row>
    <row r="274">
      <c r="A274" s="33" t="n"/>
    </row>
    <row r="275">
      <c r="A275" s="33" t="n"/>
    </row>
    <row r="276">
      <c r="A276" s="33" t="n"/>
    </row>
    <row r="277">
      <c r="A277" s="33" t="n"/>
    </row>
    <row r="278">
      <c r="A278" s="33" t="n"/>
    </row>
    <row r="279">
      <c r="A279" s="33" t="n"/>
    </row>
    <row r="280">
      <c r="A280" s="33" t="n"/>
    </row>
    <row r="281">
      <c r="A281" s="33" t="n"/>
    </row>
    <row r="282">
      <c r="A282" s="33" t="n"/>
    </row>
    <row r="283">
      <c r="A283" s="33" t="n"/>
    </row>
    <row r="284">
      <c r="A284" s="33" t="n"/>
    </row>
    <row r="285">
      <c r="A285" s="33" t="n"/>
    </row>
    <row r="286">
      <c r="A286" s="33" t="n"/>
    </row>
    <row r="287">
      <c r="A287" s="33" t="n"/>
    </row>
    <row r="288">
      <c r="A288" s="33" t="n"/>
    </row>
    <row r="289">
      <c r="A289" s="33" t="n"/>
    </row>
    <row r="290">
      <c r="A290" s="33" t="n"/>
    </row>
    <row r="291">
      <c r="A291" s="33" t="n"/>
    </row>
    <row r="292">
      <c r="A292" s="33" t="n"/>
    </row>
    <row r="293">
      <c r="A293" s="33" t="n"/>
    </row>
    <row r="294">
      <c r="A294" s="33" t="n"/>
    </row>
    <row r="295">
      <c r="A295" s="33" t="n"/>
    </row>
    <row r="296">
      <c r="A296" s="33" t="n"/>
    </row>
    <row r="297">
      <c r="A297" s="33" t="n"/>
    </row>
    <row r="298">
      <c r="A298" s="33" t="n"/>
    </row>
    <row r="299">
      <c r="A299" s="33" t="n"/>
    </row>
    <row r="300">
      <c r="A300" s="33" t="n"/>
    </row>
    <row r="301">
      <c r="A301" s="33" t="n"/>
    </row>
    <row r="302">
      <c r="A302" s="33" t="n"/>
    </row>
    <row r="303">
      <c r="A303" s="33" t="n"/>
    </row>
    <row r="304">
      <c r="A304" s="33" t="n"/>
    </row>
    <row r="305">
      <c r="A305" s="33" t="n"/>
    </row>
    <row r="306">
      <c r="A306" s="33" t="n"/>
    </row>
    <row r="307">
      <c r="A307" s="33" t="n"/>
    </row>
    <row r="308">
      <c r="A308" s="33" t="n"/>
    </row>
    <row r="309">
      <c r="A309" s="33" t="n"/>
    </row>
    <row r="310">
      <c r="A310" s="33" t="n"/>
    </row>
    <row r="311">
      <c r="A311" s="33" t="n"/>
    </row>
    <row r="312">
      <c r="A312" s="33" t="n"/>
    </row>
    <row r="313">
      <c r="A313" s="33" t="n"/>
    </row>
    <row r="314">
      <c r="A314" s="33" t="n"/>
    </row>
    <row r="315">
      <c r="A315" s="33" t="n"/>
    </row>
    <row r="316">
      <c r="A316" s="33" t="n"/>
    </row>
    <row r="317">
      <c r="A317" s="33" t="n"/>
    </row>
    <row r="318">
      <c r="A318" s="33" t="n"/>
    </row>
    <row r="319">
      <c r="A319" s="33" t="n"/>
    </row>
    <row r="320">
      <c r="A320" s="33" t="n"/>
    </row>
    <row r="321">
      <c r="A321" s="33" t="n"/>
    </row>
    <row r="322">
      <c r="A322" s="33" t="n"/>
    </row>
    <row r="323">
      <c r="A323" s="33" t="n"/>
    </row>
    <row r="324">
      <c r="A324" s="33" t="n"/>
    </row>
    <row r="325">
      <c r="A325" s="33" t="n"/>
    </row>
    <row r="326">
      <c r="A326" s="33" t="n"/>
    </row>
    <row r="327">
      <c r="A327" s="33" t="n"/>
    </row>
    <row r="328">
      <c r="A328" s="33" t="n"/>
    </row>
    <row r="329">
      <c r="A329" s="33" t="n"/>
    </row>
    <row r="330">
      <c r="A330" s="33" t="n"/>
    </row>
    <row r="331">
      <c r="A331" s="33" t="n"/>
    </row>
    <row r="332">
      <c r="A332" s="33" t="n"/>
    </row>
    <row r="333">
      <c r="A333" s="33" t="n"/>
    </row>
    <row r="334">
      <c r="A334" s="33" t="n"/>
    </row>
    <row r="335">
      <c r="A335" s="33" t="n"/>
    </row>
    <row r="336">
      <c r="A336" s="33" t="n"/>
    </row>
    <row r="337">
      <c r="A337" s="33" t="n"/>
    </row>
    <row r="338">
      <c r="A338" s="33" t="n"/>
    </row>
    <row r="339">
      <c r="A339" s="33" t="n"/>
    </row>
    <row r="340">
      <c r="A340" s="33" t="n"/>
    </row>
    <row r="341">
      <c r="A341" s="33" t="n"/>
    </row>
    <row r="342">
      <c r="A342" s="33" t="n"/>
    </row>
    <row r="343">
      <c r="A343" s="33" t="n"/>
    </row>
    <row r="344">
      <c r="A344" s="33" t="n"/>
    </row>
    <row r="345">
      <c r="A345" s="33" t="n"/>
    </row>
    <row r="346">
      <c r="A346" s="33" t="n"/>
    </row>
    <row r="347">
      <c r="A347" s="33" t="n"/>
    </row>
    <row r="348">
      <c r="A348" s="33" t="n"/>
    </row>
    <row r="349">
      <c r="A349" s="33" t="n"/>
    </row>
    <row r="350">
      <c r="A350" s="33" t="n"/>
    </row>
    <row r="351">
      <c r="A351" s="33" t="n"/>
    </row>
    <row r="352">
      <c r="A352" s="33" t="n"/>
    </row>
    <row r="353">
      <c r="A353" s="33" t="n"/>
    </row>
    <row r="354">
      <c r="A354" s="33" t="n"/>
    </row>
    <row r="355">
      <c r="A355" s="33" t="n"/>
    </row>
    <row r="356">
      <c r="A356" s="33" t="n"/>
    </row>
    <row r="357">
      <c r="A357" s="33" t="n"/>
    </row>
    <row r="358">
      <c r="A358" s="33" t="n"/>
    </row>
    <row r="359">
      <c r="A359" s="33" t="n"/>
    </row>
    <row r="360">
      <c r="A360" s="33" t="n"/>
    </row>
    <row r="361">
      <c r="A361" s="33" t="n"/>
    </row>
    <row r="362">
      <c r="A362" s="33" t="n"/>
    </row>
    <row r="363">
      <c r="A363" s="33" t="n"/>
    </row>
    <row r="364">
      <c r="A364" s="33" t="n"/>
    </row>
    <row r="365">
      <c r="A365" s="33" t="n"/>
    </row>
    <row r="366">
      <c r="A366" s="33" t="n"/>
    </row>
    <row r="367">
      <c r="A367" s="33" t="n"/>
    </row>
    <row r="368">
      <c r="A368" s="33" t="n"/>
    </row>
    <row r="369">
      <c r="A369" s="33" t="n"/>
    </row>
    <row r="370">
      <c r="A370" s="33" t="n"/>
    </row>
    <row r="371">
      <c r="A371" s="33" t="n"/>
    </row>
    <row r="372">
      <c r="A372" s="33" t="n"/>
    </row>
    <row r="373">
      <c r="A373" s="33" t="n"/>
    </row>
    <row r="374">
      <c r="A374" s="33" t="n"/>
    </row>
    <row r="375">
      <c r="A375" s="33" t="n"/>
    </row>
    <row r="376">
      <c r="A376" s="33" t="n"/>
    </row>
    <row r="377">
      <c r="A377" s="33" t="n"/>
    </row>
    <row r="378">
      <c r="A378" s="33" t="n"/>
    </row>
    <row r="379">
      <c r="A379" s="33" t="n"/>
    </row>
    <row r="380">
      <c r="A380" s="33" t="n"/>
    </row>
    <row r="381">
      <c r="A381" s="33" t="n"/>
    </row>
    <row r="382">
      <c r="A382" s="33" t="n"/>
    </row>
    <row r="383">
      <c r="A383" s="33" t="n"/>
    </row>
    <row r="384">
      <c r="A384" s="33" t="n"/>
    </row>
    <row r="385">
      <c r="A385" s="33" t="n"/>
    </row>
    <row r="386">
      <c r="A386" s="33" t="n"/>
    </row>
    <row r="387">
      <c r="A387" s="33" t="n"/>
    </row>
    <row r="388">
      <c r="A388" s="33" t="n"/>
    </row>
    <row r="389">
      <c r="A389" s="33" t="n"/>
    </row>
    <row r="390">
      <c r="A390" s="33" t="n"/>
    </row>
    <row r="391">
      <c r="A391" s="33" t="n"/>
    </row>
    <row r="392">
      <c r="A392" s="33" t="n"/>
    </row>
    <row r="393">
      <c r="A393" s="33" t="n"/>
    </row>
    <row r="394">
      <c r="A394" s="33" t="n"/>
    </row>
    <row r="395">
      <c r="A395" s="33" t="n"/>
    </row>
    <row r="396">
      <c r="A396" s="33" t="n"/>
    </row>
    <row r="397">
      <c r="A397" s="33" t="n"/>
    </row>
    <row r="398">
      <c r="A398" s="33" t="n"/>
    </row>
    <row r="399">
      <c r="A399" s="33" t="n"/>
    </row>
    <row r="400">
      <c r="A400" s="33" t="n"/>
    </row>
    <row r="401">
      <c r="A401" s="33" t="n"/>
    </row>
    <row r="402">
      <c r="A402" s="33" t="n"/>
    </row>
    <row r="403">
      <c r="A403" s="33" t="n"/>
    </row>
    <row r="404">
      <c r="A404" s="33" t="n"/>
    </row>
    <row r="405">
      <c r="A405" s="33" t="n"/>
    </row>
    <row r="406">
      <c r="A406" s="33" t="n"/>
    </row>
    <row r="407">
      <c r="A407" s="33" t="n"/>
    </row>
    <row r="408">
      <c r="A408" s="33" t="n"/>
    </row>
    <row r="409">
      <c r="A409" s="33" t="n"/>
    </row>
    <row r="410">
      <c r="A410" s="33" t="n"/>
    </row>
    <row r="411">
      <c r="A411" s="33" t="n"/>
    </row>
    <row r="412">
      <c r="A412" s="33" t="n"/>
    </row>
    <row r="413">
      <c r="A413" s="33" t="n"/>
    </row>
    <row r="414">
      <c r="A414" s="33" t="n"/>
    </row>
    <row r="415">
      <c r="A415" s="33" t="n"/>
    </row>
    <row r="416">
      <c r="A416" s="33" t="n"/>
    </row>
    <row r="417">
      <c r="A417" s="33" t="n"/>
    </row>
    <row r="418">
      <c r="A418" s="33" t="n"/>
    </row>
    <row r="419">
      <c r="A419" s="33" t="n"/>
    </row>
    <row r="420">
      <c r="A420" s="33" t="n"/>
    </row>
    <row r="421">
      <c r="A421" s="33" t="n"/>
    </row>
    <row r="422">
      <c r="A422" s="33" t="n"/>
    </row>
    <row r="423">
      <c r="A423" s="33" t="n"/>
    </row>
    <row r="424">
      <c r="A424" s="33" t="n"/>
    </row>
    <row r="425">
      <c r="A425" s="33" t="n"/>
    </row>
    <row r="426">
      <c r="A426" s="33" t="n"/>
    </row>
    <row r="427">
      <c r="A427" s="33" t="n"/>
    </row>
    <row r="428">
      <c r="A428" s="33" t="n"/>
    </row>
    <row r="429">
      <c r="A429" s="33" t="n"/>
    </row>
    <row r="430">
      <c r="A430" s="33" t="n"/>
    </row>
    <row r="431">
      <c r="A431" s="33" t="n"/>
    </row>
    <row r="432">
      <c r="A432" s="33" t="n"/>
    </row>
    <row r="433">
      <c r="A433" s="33" t="n"/>
    </row>
    <row r="434">
      <c r="A434" s="33" t="n"/>
    </row>
    <row r="435">
      <c r="A435" s="33" t="n"/>
    </row>
    <row r="436">
      <c r="A436" s="33" t="n"/>
    </row>
    <row r="437">
      <c r="A437" s="33" t="n"/>
    </row>
    <row r="438">
      <c r="A438" s="33" t="n"/>
    </row>
    <row r="439">
      <c r="A439" s="33" t="n"/>
    </row>
    <row r="440">
      <c r="A440" s="33" t="n"/>
    </row>
    <row r="441">
      <c r="A441" s="33" t="n"/>
    </row>
    <row r="442">
      <c r="A442" s="33" t="n"/>
    </row>
    <row r="443">
      <c r="A443" s="33" t="n"/>
    </row>
    <row r="444">
      <c r="A444" s="33" t="n"/>
    </row>
    <row r="445">
      <c r="A445" s="33" t="n"/>
    </row>
    <row r="446">
      <c r="A446" s="33" t="n"/>
    </row>
    <row r="447">
      <c r="A447" s="33" t="n"/>
    </row>
    <row r="448">
      <c r="A448" s="33" t="n"/>
    </row>
    <row r="449">
      <c r="A449" s="33" t="n"/>
    </row>
    <row r="450">
      <c r="A450" s="33" t="n"/>
    </row>
    <row r="451">
      <c r="A451" s="33" t="n"/>
    </row>
    <row r="452">
      <c r="A452" s="33" t="n"/>
    </row>
    <row r="453">
      <c r="A453" s="33" t="n"/>
    </row>
    <row r="454">
      <c r="A454" s="33" t="n"/>
    </row>
    <row r="455">
      <c r="A455" s="33" t="n"/>
    </row>
    <row r="456">
      <c r="A456" s="33" t="n"/>
    </row>
    <row r="457">
      <c r="A457" s="33" t="n"/>
    </row>
    <row r="458">
      <c r="A458" s="33" t="n"/>
    </row>
    <row r="459">
      <c r="A459" s="33" t="n"/>
    </row>
    <row r="460">
      <c r="A460" s="33" t="n"/>
    </row>
    <row r="461">
      <c r="A461" s="33" t="n"/>
    </row>
    <row r="462">
      <c r="A462" s="33" t="n"/>
    </row>
    <row r="463">
      <c r="A463" s="33" t="n"/>
    </row>
    <row r="464">
      <c r="A464" s="33" t="n"/>
    </row>
    <row r="465">
      <c r="A465" s="33" t="n"/>
    </row>
    <row r="466">
      <c r="A466" s="33" t="n"/>
    </row>
    <row r="467">
      <c r="A467" s="33" t="n"/>
    </row>
    <row r="468">
      <c r="A468" s="33" t="n"/>
    </row>
    <row r="469">
      <c r="A469" s="33" t="n"/>
    </row>
    <row r="470">
      <c r="A470" s="33" t="n"/>
    </row>
    <row r="471">
      <c r="A471" s="33" t="n"/>
    </row>
    <row r="472">
      <c r="A472" s="33" t="n"/>
    </row>
    <row r="473">
      <c r="A473" s="33" t="n"/>
    </row>
    <row r="474">
      <c r="A474" s="33" t="n"/>
    </row>
    <row r="475">
      <c r="A475" s="33" t="n"/>
    </row>
    <row r="476">
      <c r="A476" s="33" t="n"/>
    </row>
    <row r="477">
      <c r="A477" s="33" t="n"/>
    </row>
    <row r="478">
      <c r="A478" s="33" t="n"/>
    </row>
    <row r="479">
      <c r="A479" s="33" t="n"/>
    </row>
    <row r="480">
      <c r="A480" s="33" t="n"/>
    </row>
    <row r="481">
      <c r="A481" s="33" t="n"/>
    </row>
    <row r="482">
      <c r="A482" s="33" t="n"/>
    </row>
    <row r="483">
      <c r="A483" s="33" t="n"/>
    </row>
    <row r="484">
      <c r="A484" s="33" t="n"/>
    </row>
    <row r="485">
      <c r="A485" s="33" t="n"/>
    </row>
    <row r="486">
      <c r="A486" s="33" t="n"/>
    </row>
    <row r="487">
      <c r="A487" s="33" t="n"/>
    </row>
    <row r="488">
      <c r="A488" s="33" t="n"/>
    </row>
    <row r="489">
      <c r="A489" s="33" t="n"/>
    </row>
    <row r="490">
      <c r="A490" s="33" t="n"/>
    </row>
    <row r="491">
      <c r="A491" s="33" t="n"/>
    </row>
    <row r="492">
      <c r="A492" s="33" t="n"/>
    </row>
    <row r="493">
      <c r="A493" s="33" t="n"/>
    </row>
    <row r="494">
      <c r="A494" s="33" t="n"/>
    </row>
    <row r="495">
      <c r="A495" s="33" t="n"/>
    </row>
    <row r="496">
      <c r="A496" s="33" t="n"/>
    </row>
    <row r="497">
      <c r="A497" s="33" t="n"/>
    </row>
    <row r="498">
      <c r="A498" s="33" t="n"/>
    </row>
    <row r="499">
      <c r="A499" s="33" t="n"/>
    </row>
    <row r="500">
      <c r="A500" s="33" t="n"/>
    </row>
    <row r="501">
      <c r="A501" s="33" t="n"/>
    </row>
    <row r="502">
      <c r="A502" s="33" t="n"/>
    </row>
    <row r="503">
      <c r="A503" s="33" t="n"/>
    </row>
    <row r="504">
      <c r="A504" s="33" t="n"/>
    </row>
    <row r="505">
      <c r="A505" s="33" t="n"/>
    </row>
    <row r="506">
      <c r="A506" s="33" t="n"/>
    </row>
    <row r="507">
      <c r="A507" s="33" t="n"/>
    </row>
    <row r="508">
      <c r="A508" s="33" t="n"/>
    </row>
    <row r="509">
      <c r="A509" s="33" t="n"/>
    </row>
    <row r="510">
      <c r="A510" s="33" t="n"/>
    </row>
    <row r="511">
      <c r="A511" s="33" t="n"/>
    </row>
    <row r="512">
      <c r="A512" s="33" t="n"/>
    </row>
    <row r="513">
      <c r="A513" s="33" t="n"/>
    </row>
    <row r="514">
      <c r="A514" s="33" t="n"/>
    </row>
    <row r="515">
      <c r="A515" s="33" t="n"/>
    </row>
    <row r="516">
      <c r="A516" s="33" t="n"/>
    </row>
    <row r="517">
      <c r="A517" s="33" t="n"/>
    </row>
    <row r="518">
      <c r="A518" s="33" t="n"/>
    </row>
    <row r="519">
      <c r="A519" s="33" t="n"/>
    </row>
    <row r="520">
      <c r="A520" s="33" t="n"/>
    </row>
    <row r="521">
      <c r="A521" s="33" t="n"/>
    </row>
    <row r="522">
      <c r="A522" s="33" t="n"/>
    </row>
    <row r="523">
      <c r="A523" s="33" t="n"/>
    </row>
    <row r="524">
      <c r="A524" s="33" t="n"/>
    </row>
    <row r="525">
      <c r="A525" s="33" t="n"/>
    </row>
    <row r="526">
      <c r="A526" s="33" t="n"/>
    </row>
    <row r="527">
      <c r="A527" s="33" t="n"/>
    </row>
    <row r="528">
      <c r="A528" s="33" t="n"/>
    </row>
    <row r="529">
      <c r="A529" s="33" t="n"/>
    </row>
    <row r="530">
      <c r="A530" s="33" t="n"/>
    </row>
    <row r="531">
      <c r="A531" s="33" t="n"/>
    </row>
    <row r="532">
      <c r="A532" s="33" t="n"/>
    </row>
    <row r="533">
      <c r="A533" s="33" t="n"/>
    </row>
    <row r="534">
      <c r="A534" s="33" t="n"/>
    </row>
    <row r="535">
      <c r="A535" s="33" t="n"/>
    </row>
    <row r="536">
      <c r="A536" s="33" t="n"/>
    </row>
    <row r="537">
      <c r="A537" s="33" t="n"/>
    </row>
    <row r="538">
      <c r="A538" s="33" t="n"/>
    </row>
    <row r="539">
      <c r="A539" s="33" t="n"/>
    </row>
    <row r="540">
      <c r="A540" s="33" t="n"/>
    </row>
    <row r="541">
      <c r="A541" s="33" t="n"/>
    </row>
    <row r="542">
      <c r="A542" s="33" t="n"/>
    </row>
    <row r="543">
      <c r="A543" s="33" t="n"/>
    </row>
    <row r="544">
      <c r="A544" s="33" t="n"/>
    </row>
    <row r="545">
      <c r="A545" s="33" t="n"/>
    </row>
    <row r="546">
      <c r="A546" s="33" t="n"/>
    </row>
    <row r="547">
      <c r="A547" s="33" t="n"/>
    </row>
    <row r="548">
      <c r="A548" s="33" t="n"/>
    </row>
    <row r="549">
      <c r="A549" s="33" t="n"/>
    </row>
    <row r="550">
      <c r="A550" s="33" t="n"/>
    </row>
    <row r="551">
      <c r="A551" s="33" t="n"/>
    </row>
    <row r="552">
      <c r="A552" s="33" t="n"/>
    </row>
    <row r="553">
      <c r="A553" s="33" t="n"/>
    </row>
    <row r="554">
      <c r="A554" s="33" t="n"/>
    </row>
    <row r="555">
      <c r="A555" s="33" t="n"/>
    </row>
    <row r="556">
      <c r="A556" s="33" t="n"/>
    </row>
    <row r="557">
      <c r="A557" s="33" t="n"/>
    </row>
    <row r="558">
      <c r="A558" s="33" t="n"/>
    </row>
    <row r="559">
      <c r="A559" s="33" t="n"/>
    </row>
    <row r="560">
      <c r="A560" s="33" t="n"/>
    </row>
    <row r="561">
      <c r="A561" s="33" t="n"/>
    </row>
    <row r="562">
      <c r="A562" s="33" t="n"/>
    </row>
    <row r="563">
      <c r="A563" s="33" t="n"/>
    </row>
    <row r="564">
      <c r="A564" s="33" t="n"/>
    </row>
    <row r="565">
      <c r="A565" s="33" t="n"/>
    </row>
    <row r="566">
      <c r="A566" s="33" t="n"/>
    </row>
    <row r="567">
      <c r="A567" s="33" t="n"/>
    </row>
    <row r="568">
      <c r="A568" s="33" t="n"/>
    </row>
    <row r="569">
      <c r="A569" s="33" t="n"/>
    </row>
    <row r="570">
      <c r="A570" s="33" t="n"/>
    </row>
    <row r="571">
      <c r="A571" s="33" t="n"/>
    </row>
    <row r="572">
      <c r="A572" s="33" t="n"/>
    </row>
    <row r="573">
      <c r="A573" s="33" t="n"/>
    </row>
    <row r="574">
      <c r="A574" s="33" t="n"/>
    </row>
    <row r="575">
      <c r="A575" s="33" t="n"/>
    </row>
    <row r="576">
      <c r="A576" s="33" t="n"/>
    </row>
    <row r="577">
      <c r="A577" s="33" t="n"/>
    </row>
    <row r="578">
      <c r="A578" s="33" t="n"/>
    </row>
    <row r="579">
      <c r="A579" s="33" t="n"/>
    </row>
    <row r="580">
      <c r="A580" s="33" t="n"/>
    </row>
    <row r="581">
      <c r="A581" s="33" t="n"/>
    </row>
    <row r="582">
      <c r="A582" s="33" t="n"/>
    </row>
    <row r="583">
      <c r="A583" s="33" t="n"/>
    </row>
    <row r="584">
      <c r="A584" s="33" t="n"/>
    </row>
    <row r="585">
      <c r="A585" s="33" t="n"/>
    </row>
    <row r="586">
      <c r="A586" s="33" t="n"/>
    </row>
    <row r="587">
      <c r="A587" s="33" t="n"/>
    </row>
    <row r="588">
      <c r="A588" s="33" t="n"/>
    </row>
    <row r="589">
      <c r="A589" s="33" t="n"/>
    </row>
    <row r="590">
      <c r="A590" s="33" t="n"/>
    </row>
    <row r="591">
      <c r="A591" s="33" t="n"/>
    </row>
    <row r="592">
      <c r="A592" s="33" t="n"/>
    </row>
    <row r="593">
      <c r="A593" s="33" t="n"/>
    </row>
    <row r="594">
      <c r="A594" s="33" t="n"/>
    </row>
    <row r="595">
      <c r="A595" s="33" t="n"/>
    </row>
    <row r="596">
      <c r="A596" s="33" t="n"/>
    </row>
    <row r="597">
      <c r="A597" s="33" t="n"/>
    </row>
    <row r="598">
      <c r="A598" s="33" t="n"/>
    </row>
    <row r="599">
      <c r="A599" s="33" t="n"/>
    </row>
    <row r="600">
      <c r="A600" s="33" t="n"/>
    </row>
    <row r="601">
      <c r="A601" s="33" t="n"/>
    </row>
    <row r="602">
      <c r="A602" s="33" t="n"/>
    </row>
    <row r="603">
      <c r="A603" s="33" t="n"/>
    </row>
    <row r="604">
      <c r="A604" s="33" t="n"/>
    </row>
    <row r="605">
      <c r="A605" s="33" t="n"/>
    </row>
    <row r="606">
      <c r="A606" s="33" t="n"/>
    </row>
    <row r="607">
      <c r="A607" s="33" t="n"/>
    </row>
    <row r="608">
      <c r="A608" s="33" t="n"/>
    </row>
    <row r="609">
      <c r="A609" s="33" t="n"/>
    </row>
    <row r="610">
      <c r="A610" s="33" t="n"/>
    </row>
    <row r="611">
      <c r="A611" s="33" t="n"/>
    </row>
    <row r="612">
      <c r="A612" s="33" t="n"/>
    </row>
    <row r="613">
      <c r="A613" s="33" t="n"/>
    </row>
    <row r="614">
      <c r="A614" s="33" t="n"/>
    </row>
    <row r="615">
      <c r="A615" s="33" t="n"/>
    </row>
    <row r="616">
      <c r="A616" s="33" t="n"/>
    </row>
    <row r="617">
      <c r="A617" s="33" t="n"/>
    </row>
    <row r="618">
      <c r="A618" s="33" t="n"/>
    </row>
    <row r="619">
      <c r="A619" s="33" t="n"/>
    </row>
    <row r="620">
      <c r="A620" s="33" t="n"/>
    </row>
    <row r="621">
      <c r="A621" s="33" t="n"/>
    </row>
    <row r="622">
      <c r="A622" s="33" t="n"/>
    </row>
    <row r="623">
      <c r="A623" s="33" t="n"/>
    </row>
    <row r="624">
      <c r="A624" s="33" t="n"/>
    </row>
    <row r="625">
      <c r="A625" s="33" t="n"/>
    </row>
    <row r="626">
      <c r="A626" s="33" t="n"/>
    </row>
    <row r="627">
      <c r="A627" s="33" t="n"/>
    </row>
    <row r="628">
      <c r="A628" s="33" t="n"/>
    </row>
    <row r="629">
      <c r="A629" s="33" t="n"/>
    </row>
    <row r="630">
      <c r="A630" s="33" t="n"/>
    </row>
    <row r="631">
      <c r="A631" s="33" t="n"/>
    </row>
    <row r="632">
      <c r="A632" s="33" t="n"/>
    </row>
    <row r="633">
      <c r="A633" s="33" t="n"/>
    </row>
    <row r="634">
      <c r="A634" s="33" t="n"/>
    </row>
    <row r="635">
      <c r="A635" s="33" t="n"/>
    </row>
    <row r="636">
      <c r="A636" s="33" t="n"/>
    </row>
    <row r="637">
      <c r="A637" s="33" t="n"/>
    </row>
    <row r="638">
      <c r="A638" s="33" t="n"/>
    </row>
    <row r="639">
      <c r="A639" s="33" t="n"/>
    </row>
    <row r="640">
      <c r="A640" s="33" t="n"/>
    </row>
    <row r="641">
      <c r="A641" s="33" t="n"/>
    </row>
    <row r="642">
      <c r="A642" s="33" t="n"/>
    </row>
    <row r="643">
      <c r="A643" s="33" t="n"/>
    </row>
    <row r="644">
      <c r="A644" s="33" t="n"/>
    </row>
    <row r="645">
      <c r="A645" s="33" t="n"/>
    </row>
    <row r="646">
      <c r="A646" s="33" t="n"/>
    </row>
    <row r="647">
      <c r="A647" s="33" t="n"/>
    </row>
    <row r="648">
      <c r="A648" s="33" t="n"/>
    </row>
    <row r="649">
      <c r="A649" s="33" t="n"/>
    </row>
    <row r="650">
      <c r="A650" s="33" t="n"/>
    </row>
    <row r="651">
      <c r="A651" s="33" t="n"/>
    </row>
    <row r="652">
      <c r="A652" s="33" t="n"/>
    </row>
    <row r="653">
      <c r="A653" s="33" t="n"/>
    </row>
    <row r="654">
      <c r="A654" s="33" t="n"/>
    </row>
    <row r="655">
      <c r="A655" s="33" t="n"/>
    </row>
    <row r="656">
      <c r="A656" s="33" t="n"/>
    </row>
    <row r="657">
      <c r="A657" s="33" t="n"/>
    </row>
    <row r="658">
      <c r="A658" s="33" t="n"/>
    </row>
    <row r="659">
      <c r="A659" s="33" t="n"/>
    </row>
    <row r="660">
      <c r="A660" s="33" t="n"/>
    </row>
    <row r="661">
      <c r="A661" s="33" t="n"/>
    </row>
    <row r="662">
      <c r="A662" s="33" t="n"/>
    </row>
    <row r="663">
      <c r="A663" s="33" t="n"/>
    </row>
    <row r="664">
      <c r="A664" s="33" t="n"/>
    </row>
    <row r="665">
      <c r="A665" s="33" t="n"/>
    </row>
    <row r="666">
      <c r="A666" s="33" t="n"/>
    </row>
    <row r="667">
      <c r="A667" s="33" t="n"/>
    </row>
    <row r="668">
      <c r="A668" s="33" t="n"/>
    </row>
    <row r="669">
      <c r="A669" s="33" t="n"/>
    </row>
    <row r="670">
      <c r="A670" s="33" t="n"/>
    </row>
    <row r="671">
      <c r="A671" s="33" t="n"/>
    </row>
    <row r="672">
      <c r="A672" s="33" t="n"/>
    </row>
    <row r="673">
      <c r="A673" s="33" t="n"/>
    </row>
    <row r="674">
      <c r="A674" s="33" t="n"/>
    </row>
    <row r="675">
      <c r="A675" s="33" t="n"/>
    </row>
    <row r="676">
      <c r="A676" s="33" t="n"/>
    </row>
    <row r="677">
      <c r="A677" s="33" t="n"/>
    </row>
    <row r="678">
      <c r="A678" s="33" t="n"/>
    </row>
    <row r="679">
      <c r="A679" s="33" t="n"/>
    </row>
    <row r="680">
      <c r="A680" s="33" t="n"/>
    </row>
    <row r="681">
      <c r="A681" s="33" t="n"/>
    </row>
    <row r="682">
      <c r="A682" s="33" t="n"/>
    </row>
    <row r="683">
      <c r="A683" s="33" t="n"/>
    </row>
    <row r="684">
      <c r="A684" s="33" t="n"/>
    </row>
    <row r="685">
      <c r="A685" s="33" t="n"/>
    </row>
    <row r="686">
      <c r="A686" s="33" t="n"/>
    </row>
    <row r="687">
      <c r="A687" s="33" t="n"/>
    </row>
    <row r="688">
      <c r="A688" s="33" t="n"/>
    </row>
    <row r="689">
      <c r="A689" s="33" t="n"/>
    </row>
    <row r="690">
      <c r="A690" s="33" t="n"/>
    </row>
    <row r="691">
      <c r="A691" s="33" t="n"/>
    </row>
    <row r="692">
      <c r="A692" s="33" t="n"/>
    </row>
    <row r="693">
      <c r="A693" s="33" t="n"/>
    </row>
    <row r="694">
      <c r="A694" s="33" t="n"/>
    </row>
    <row r="695">
      <c r="A695" s="33" t="n"/>
    </row>
    <row r="696">
      <c r="A696" s="33" t="n"/>
    </row>
    <row r="697">
      <c r="A697" s="33" t="n"/>
    </row>
    <row r="698">
      <c r="A698" s="33" t="n"/>
    </row>
    <row r="699">
      <c r="A699" s="33" t="n"/>
    </row>
    <row r="700">
      <c r="A700" s="33" t="n"/>
    </row>
    <row r="701">
      <c r="A701" s="33" t="n"/>
    </row>
    <row r="702">
      <c r="A702" s="33" t="n"/>
    </row>
    <row r="703">
      <c r="A703" s="33" t="n"/>
    </row>
    <row r="704">
      <c r="A704" s="33" t="n"/>
    </row>
    <row r="705">
      <c r="A705" s="33" t="n"/>
    </row>
    <row r="706">
      <c r="A706" s="33" t="n"/>
    </row>
    <row r="707">
      <c r="A707" s="33" t="n"/>
    </row>
    <row r="708">
      <c r="A708" s="33" t="n"/>
    </row>
    <row r="709">
      <c r="A709" s="33" t="n"/>
    </row>
    <row r="710">
      <c r="A710" s="33" t="n"/>
    </row>
    <row r="711">
      <c r="A711" s="33" t="n"/>
    </row>
    <row r="712">
      <c r="A712" s="33" t="n"/>
    </row>
    <row r="713">
      <c r="A713" s="33" t="n"/>
    </row>
    <row r="714">
      <c r="A714" s="33" t="n"/>
    </row>
    <row r="715">
      <c r="A715" s="33" t="n"/>
    </row>
    <row r="716">
      <c r="A716" s="33" t="n"/>
    </row>
    <row r="717">
      <c r="A717" s="33" t="n"/>
    </row>
    <row r="718">
      <c r="A718" s="33" t="n"/>
    </row>
    <row r="719">
      <c r="A719" s="33" t="n"/>
    </row>
    <row r="720">
      <c r="A720" s="33" t="n"/>
    </row>
    <row r="721">
      <c r="A721" s="33" t="n"/>
    </row>
    <row r="722">
      <c r="A722" s="33" t="n"/>
    </row>
    <row r="723">
      <c r="A723" s="33" t="n"/>
    </row>
    <row r="724">
      <c r="A724" s="33" t="n"/>
    </row>
    <row r="725">
      <c r="A725" s="33" t="n"/>
    </row>
    <row r="726">
      <c r="A726" s="33" t="n"/>
    </row>
    <row r="727">
      <c r="A727" s="33" t="n"/>
    </row>
    <row r="728">
      <c r="A728" s="33" t="n"/>
    </row>
    <row r="729">
      <c r="A729" s="33" t="n"/>
    </row>
    <row r="730">
      <c r="A730" s="33" t="n"/>
    </row>
    <row r="731">
      <c r="A731" s="33" t="n"/>
    </row>
    <row r="732">
      <c r="A732" s="33" t="n"/>
    </row>
    <row r="733">
      <c r="A733" s="33" t="n"/>
    </row>
    <row r="734">
      <c r="A734" s="33" t="n"/>
    </row>
    <row r="735">
      <c r="A735" s="33" t="n"/>
    </row>
    <row r="736">
      <c r="A736" s="33" t="n"/>
    </row>
    <row r="737">
      <c r="A737" s="33" t="n"/>
    </row>
    <row r="738">
      <c r="A738" s="33" t="n"/>
    </row>
    <row r="739">
      <c r="A739" s="33" t="n"/>
    </row>
    <row r="740">
      <c r="A740" s="33" t="n"/>
    </row>
    <row r="741">
      <c r="A741" s="33" t="n"/>
    </row>
    <row r="742">
      <c r="A742" s="33" t="n"/>
    </row>
    <row r="743">
      <c r="A743" s="33" t="n"/>
    </row>
    <row r="744">
      <c r="A744" s="33" t="n"/>
    </row>
    <row r="745">
      <c r="A745" s="33" t="n"/>
    </row>
    <row r="746">
      <c r="A746" s="33" t="n"/>
    </row>
    <row r="747">
      <c r="A747" s="33" t="n"/>
    </row>
    <row r="748">
      <c r="A748" s="33" t="n"/>
    </row>
    <row r="749">
      <c r="A749" s="33" t="n"/>
    </row>
    <row r="750">
      <c r="A750" s="33" t="n"/>
    </row>
    <row r="751">
      <c r="A751" s="33" t="n"/>
    </row>
    <row r="752">
      <c r="A752" s="33" t="n"/>
    </row>
    <row r="753">
      <c r="A753" s="33" t="n"/>
    </row>
    <row r="754">
      <c r="A754" s="33" t="n"/>
    </row>
    <row r="755">
      <c r="A755" s="33" t="n"/>
    </row>
    <row r="756">
      <c r="A756" s="33" t="n"/>
    </row>
    <row r="757">
      <c r="A757" s="33" t="n"/>
    </row>
    <row r="758">
      <c r="A758" s="33" t="n"/>
    </row>
    <row r="759">
      <c r="A759" s="33" t="n"/>
    </row>
    <row r="760">
      <c r="A760" s="33" t="n"/>
    </row>
    <row r="761">
      <c r="A761" s="33" t="n"/>
    </row>
    <row r="762">
      <c r="A762" s="33" t="n"/>
    </row>
    <row r="763">
      <c r="A763" s="33" t="n"/>
    </row>
    <row r="764">
      <c r="A764" s="33" t="n"/>
    </row>
    <row r="765">
      <c r="A765" s="33" t="n"/>
    </row>
    <row r="766">
      <c r="A766" s="33" t="n"/>
    </row>
    <row r="767">
      <c r="A767" s="33" t="n"/>
    </row>
    <row r="768">
      <c r="A768" s="33" t="n"/>
    </row>
    <row r="769">
      <c r="A769" s="33" t="n"/>
    </row>
    <row r="770">
      <c r="A770" s="33" t="n"/>
    </row>
    <row r="771">
      <c r="A771" s="33" t="n"/>
    </row>
    <row r="772">
      <c r="A772" s="33" t="n"/>
    </row>
    <row r="773">
      <c r="A773" s="33" t="n"/>
    </row>
    <row r="774">
      <c r="A774" s="33" t="n"/>
    </row>
    <row r="775">
      <c r="A775" s="33" t="n"/>
    </row>
    <row r="776">
      <c r="A776" s="33" t="n"/>
    </row>
    <row r="777">
      <c r="A777" s="33" t="n"/>
    </row>
    <row r="778">
      <c r="A778" s="33" t="n"/>
    </row>
    <row r="779">
      <c r="A779" s="33" t="n"/>
    </row>
    <row r="780">
      <c r="A780" s="33" t="n"/>
    </row>
    <row r="781">
      <c r="A781" s="33" t="n"/>
    </row>
    <row r="782">
      <c r="A782" s="33" t="n"/>
    </row>
    <row r="783">
      <c r="A783" s="33" t="n"/>
    </row>
    <row r="784">
      <c r="A784" s="33" t="n"/>
    </row>
    <row r="785">
      <c r="A785" s="33" t="n"/>
    </row>
    <row r="786">
      <c r="A786" s="33" t="n"/>
    </row>
    <row r="787">
      <c r="A787" s="33" t="n"/>
    </row>
    <row r="788">
      <c r="A788" s="33" t="n"/>
    </row>
    <row r="789">
      <c r="A789" s="33" t="n"/>
    </row>
    <row r="790">
      <c r="A790" s="33" t="n"/>
    </row>
    <row r="791">
      <c r="A791" s="33" t="n"/>
    </row>
    <row r="792">
      <c r="A792" s="33" t="n"/>
    </row>
    <row r="793">
      <c r="A793" s="33" t="n"/>
    </row>
    <row r="794">
      <c r="A794" s="33" t="n"/>
    </row>
    <row r="795">
      <c r="A795" s="33" t="n"/>
    </row>
    <row r="796">
      <c r="A796" s="33" t="n"/>
    </row>
    <row r="797">
      <c r="A797" s="33" t="n"/>
    </row>
    <row r="798">
      <c r="A798" s="33" t="n"/>
    </row>
    <row r="799">
      <c r="A799" s="33" t="n"/>
    </row>
    <row r="800">
      <c r="A800" s="33" t="n"/>
    </row>
    <row r="801">
      <c r="A801" s="33" t="n"/>
    </row>
    <row r="802">
      <c r="A802" s="33" t="n"/>
    </row>
    <row r="803">
      <c r="A803" s="33" t="n"/>
    </row>
    <row r="804">
      <c r="A804" s="33" t="n"/>
    </row>
    <row r="805">
      <c r="A805" s="33" t="n"/>
    </row>
    <row r="806">
      <c r="A806" s="33" t="n"/>
    </row>
    <row r="807">
      <c r="A807" s="33" t="n"/>
    </row>
    <row r="808">
      <c r="A808" s="33" t="n"/>
    </row>
    <row r="809">
      <c r="A809" s="33" t="n"/>
    </row>
    <row r="810">
      <c r="A810" s="33" t="n"/>
    </row>
    <row r="811">
      <c r="A811" s="33" t="n"/>
    </row>
    <row r="812">
      <c r="A812" s="33" t="n"/>
    </row>
    <row r="813">
      <c r="A813" s="33" t="n"/>
    </row>
    <row r="814">
      <c r="A814" s="33" t="n"/>
    </row>
    <row r="815">
      <c r="A815" s="33" t="n"/>
    </row>
    <row r="816">
      <c r="A816" s="33" t="n"/>
    </row>
    <row r="817">
      <c r="A817" s="33" t="n"/>
    </row>
    <row r="818">
      <c r="A818" s="33" t="n"/>
    </row>
    <row r="819">
      <c r="A819" s="33" t="n"/>
    </row>
    <row r="820">
      <c r="A820" s="33" t="n"/>
    </row>
    <row r="821">
      <c r="A821" s="33" t="n"/>
    </row>
    <row r="822">
      <c r="A822" s="33" t="n"/>
    </row>
    <row r="823">
      <c r="A823" s="33" t="n"/>
    </row>
    <row r="824">
      <c r="A824" s="33" t="n"/>
    </row>
    <row r="825">
      <c r="A825" s="33" t="n"/>
    </row>
    <row r="826">
      <c r="A826" s="33" t="n"/>
    </row>
    <row r="827">
      <c r="A827" s="33" t="n"/>
    </row>
    <row r="828">
      <c r="A828" s="33" t="n"/>
    </row>
    <row r="829">
      <c r="A829" s="33" t="n"/>
    </row>
    <row r="830">
      <c r="A830" s="33" t="n"/>
    </row>
    <row r="831">
      <c r="A831" s="33" t="n"/>
    </row>
    <row r="832">
      <c r="A832" s="33" t="n"/>
    </row>
    <row r="833">
      <c r="A833" s="33" t="n"/>
    </row>
    <row r="834">
      <c r="A834" s="33" t="n"/>
    </row>
    <row r="835">
      <c r="A835" s="33" t="n"/>
    </row>
    <row r="836">
      <c r="A836" s="33" t="n"/>
    </row>
    <row r="837">
      <c r="A837" s="33" t="n"/>
    </row>
    <row r="838">
      <c r="A838" s="33" t="n"/>
    </row>
    <row r="839">
      <c r="A839" s="33" t="n"/>
    </row>
    <row r="840">
      <c r="A840" s="33" t="n"/>
    </row>
    <row r="841">
      <c r="A841" s="33" t="n"/>
    </row>
    <row r="842">
      <c r="A842" s="33" t="n"/>
    </row>
    <row r="843">
      <c r="A843" s="33" t="n"/>
    </row>
    <row r="844">
      <c r="A844" s="33" t="n"/>
    </row>
    <row r="845">
      <c r="A845" s="33" t="n"/>
    </row>
    <row r="846">
      <c r="A846" s="33" t="n"/>
    </row>
    <row r="847">
      <c r="A847" s="33" t="n"/>
    </row>
    <row r="848">
      <c r="A848" s="33" t="n"/>
    </row>
    <row r="849">
      <c r="A849" s="33" t="n"/>
    </row>
    <row r="850">
      <c r="A850" s="33" t="n"/>
    </row>
    <row r="851">
      <c r="A851" s="33" t="n"/>
    </row>
    <row r="852">
      <c r="A852" s="33" t="n"/>
    </row>
    <row r="853">
      <c r="A853" s="33" t="n"/>
    </row>
    <row r="854">
      <c r="A854" s="33" t="n"/>
    </row>
    <row r="855">
      <c r="A855" s="33" t="n"/>
    </row>
    <row r="856">
      <c r="A856" s="33" t="n"/>
    </row>
    <row r="857">
      <c r="A857" s="33" t="n"/>
    </row>
    <row r="858">
      <c r="A858" s="33" t="n"/>
    </row>
    <row r="859">
      <c r="A859" s="33" t="n"/>
    </row>
    <row r="860">
      <c r="A860" s="33" t="n"/>
    </row>
    <row r="861">
      <c r="A861" s="33" t="n"/>
    </row>
    <row r="862">
      <c r="A862" s="33" t="n"/>
    </row>
    <row r="863">
      <c r="A863" s="33" t="n"/>
    </row>
    <row r="864">
      <c r="A864" s="33" t="n"/>
    </row>
    <row r="865">
      <c r="A865" s="33" t="n"/>
    </row>
    <row r="866">
      <c r="A866" s="33" t="n"/>
    </row>
    <row r="867">
      <c r="A867" s="33" t="n"/>
    </row>
    <row r="868">
      <c r="A868" s="33" t="n"/>
    </row>
    <row r="869">
      <c r="A869" s="33" t="n"/>
    </row>
    <row r="870">
      <c r="A870" s="33" t="n"/>
    </row>
    <row r="871">
      <c r="A871" s="33" t="n"/>
    </row>
    <row r="872">
      <c r="A872" s="33" t="n"/>
    </row>
    <row r="873">
      <c r="A873" s="33" t="n"/>
    </row>
    <row r="874">
      <c r="A874" s="33" t="n"/>
    </row>
    <row r="875">
      <c r="A875" s="33" t="n"/>
    </row>
    <row r="876">
      <c r="A876" s="33" t="n"/>
    </row>
    <row r="877">
      <c r="A877" s="33" t="n"/>
    </row>
    <row r="878">
      <c r="A878" s="33" t="n"/>
    </row>
    <row r="879">
      <c r="A879" s="33" t="n"/>
    </row>
    <row r="880">
      <c r="A880" s="33" t="n"/>
    </row>
    <row r="881">
      <c r="A881" s="33" t="n"/>
    </row>
    <row r="882">
      <c r="A882" s="33" t="n"/>
    </row>
    <row r="883">
      <c r="A883" s="33" t="n"/>
    </row>
    <row r="884">
      <c r="A884" s="33" t="n"/>
    </row>
    <row r="885">
      <c r="A885" s="33" t="n"/>
    </row>
    <row r="886">
      <c r="A886" s="33" t="n"/>
    </row>
    <row r="887">
      <c r="A887" s="33" t="n"/>
    </row>
    <row r="888">
      <c r="A888" s="33" t="n"/>
    </row>
    <row r="889">
      <c r="A889" s="33" t="n"/>
    </row>
    <row r="890">
      <c r="A890" s="33" t="n"/>
    </row>
    <row r="891">
      <c r="A891" s="33" t="n"/>
    </row>
    <row r="892">
      <c r="A892" s="33" t="n"/>
    </row>
    <row r="893">
      <c r="A893" s="33" t="n"/>
    </row>
    <row r="894">
      <c r="A894" s="33" t="n"/>
    </row>
    <row r="895">
      <c r="A895" s="33" t="n"/>
    </row>
    <row r="896">
      <c r="A896" s="33" t="n"/>
    </row>
    <row r="897">
      <c r="A897" s="33" t="n"/>
    </row>
    <row r="898">
      <c r="A898" s="33" t="n"/>
    </row>
    <row r="899">
      <c r="A899" s="33" t="n"/>
    </row>
    <row r="900">
      <c r="A900" s="33" t="n"/>
    </row>
    <row r="901">
      <c r="A901" s="33" t="n"/>
    </row>
    <row r="902">
      <c r="A902" s="33" t="n"/>
    </row>
    <row r="903">
      <c r="A903" s="33" t="n"/>
    </row>
    <row r="904">
      <c r="A904" s="33" t="n"/>
    </row>
    <row r="905">
      <c r="A905" s="33" t="n"/>
    </row>
    <row r="906">
      <c r="A906" s="33" t="n"/>
    </row>
    <row r="907">
      <c r="A907" s="33" t="n"/>
    </row>
    <row r="908">
      <c r="A908" s="33" t="n"/>
    </row>
    <row r="909">
      <c r="A909" s="33" t="n"/>
    </row>
    <row r="910">
      <c r="A910" s="33" t="n"/>
    </row>
    <row r="911">
      <c r="A911" s="33" t="n"/>
    </row>
    <row r="912">
      <c r="A912" s="33" t="n"/>
    </row>
    <row r="913">
      <c r="A913" s="33" t="n"/>
    </row>
    <row r="914">
      <c r="A914" s="33" t="n"/>
    </row>
    <row r="915">
      <c r="A915" s="33" t="n"/>
    </row>
    <row r="916">
      <c r="A916" s="33" t="n"/>
    </row>
    <row r="917">
      <c r="A917" s="33" t="n"/>
    </row>
    <row r="918">
      <c r="A918" s="33" t="n"/>
    </row>
    <row r="919">
      <c r="A919" s="33" t="n"/>
    </row>
    <row r="920">
      <c r="A920" s="33" t="n"/>
    </row>
    <row r="921">
      <c r="A921" s="33" t="n"/>
    </row>
    <row r="922">
      <c r="A922" s="33" t="n"/>
    </row>
    <row r="923">
      <c r="A923" s="33" t="n"/>
    </row>
    <row r="924">
      <c r="A924" s="33" t="n"/>
    </row>
    <row r="925">
      <c r="A925" s="33" t="n"/>
    </row>
    <row r="926">
      <c r="A926" s="33" t="n"/>
    </row>
    <row r="927">
      <c r="A927" s="33" t="n"/>
    </row>
    <row r="928">
      <c r="A928" s="33" t="n"/>
    </row>
    <row r="929">
      <c r="A929" s="33" t="n"/>
    </row>
    <row r="930">
      <c r="A930" s="33" t="n"/>
    </row>
    <row r="931">
      <c r="A931" s="33" t="n"/>
    </row>
    <row r="932">
      <c r="A932" s="33" t="n"/>
    </row>
    <row r="933">
      <c r="A933" s="33" t="n"/>
    </row>
    <row r="934">
      <c r="A934" s="33" t="n"/>
    </row>
    <row r="935">
      <c r="A935" s="33" t="n"/>
    </row>
    <row r="936">
      <c r="A936" s="33" t="n"/>
    </row>
    <row r="937">
      <c r="A937" s="33" t="n"/>
    </row>
    <row r="938">
      <c r="A938" s="33" t="n"/>
    </row>
    <row r="939">
      <c r="A939" s="33" t="n"/>
    </row>
    <row r="940">
      <c r="A940" s="33" t="n"/>
    </row>
    <row r="941">
      <c r="A941" s="33" t="n"/>
    </row>
    <row r="942">
      <c r="A942" s="33" t="n"/>
    </row>
    <row r="943">
      <c r="A943" s="33" t="n"/>
    </row>
    <row r="944">
      <c r="A944" s="33" t="n"/>
    </row>
    <row r="945">
      <c r="A945" s="33" t="n"/>
    </row>
    <row r="946">
      <c r="A946" s="33" t="n"/>
    </row>
    <row r="947">
      <c r="A947" s="33" t="n"/>
    </row>
    <row r="948">
      <c r="A948" s="33" t="n"/>
    </row>
    <row r="949">
      <c r="A949" s="33" t="n"/>
    </row>
    <row r="950">
      <c r="A950" s="33" t="n"/>
    </row>
    <row r="951">
      <c r="A951" s="33" t="n"/>
    </row>
    <row r="952">
      <c r="A952" s="33" t="n"/>
    </row>
    <row r="953">
      <c r="A953" s="33" t="n"/>
    </row>
    <row r="954">
      <c r="A954" s="33" t="n"/>
    </row>
    <row r="955">
      <c r="A955" s="33" t="n"/>
    </row>
    <row r="956">
      <c r="A956" s="33" t="n"/>
    </row>
    <row r="957">
      <c r="A957" s="33" t="n"/>
    </row>
    <row r="958">
      <c r="A958" s="33" t="n"/>
    </row>
    <row r="959">
      <c r="A959" s="33" t="n"/>
    </row>
    <row r="960">
      <c r="A960" s="33" t="n"/>
    </row>
    <row r="961">
      <c r="A961" s="33" t="n"/>
    </row>
    <row r="962">
      <c r="A962" s="33" t="n"/>
    </row>
    <row r="963">
      <c r="A963" s="33" t="n"/>
    </row>
    <row r="964">
      <c r="A964" s="33" t="n"/>
    </row>
    <row r="965">
      <c r="A965" s="33" t="n"/>
    </row>
    <row r="966">
      <c r="A966" s="33" t="n"/>
    </row>
    <row r="967">
      <c r="A967" s="33" t="n"/>
    </row>
    <row r="968">
      <c r="A968" s="33" t="n"/>
    </row>
    <row r="969">
      <c r="A969" s="33" t="n"/>
    </row>
    <row r="970">
      <c r="A970" s="33" t="n"/>
    </row>
    <row r="971">
      <c r="A971" s="33" t="n"/>
    </row>
    <row r="972">
      <c r="A972" s="33" t="n"/>
    </row>
    <row r="973">
      <c r="A973" s="33" t="n"/>
    </row>
    <row r="974">
      <c r="A974" s="33" t="n"/>
    </row>
    <row r="975">
      <c r="A975" s="33" t="n"/>
    </row>
    <row r="976">
      <c r="A976" s="33" t="n"/>
    </row>
    <row r="977">
      <c r="A977" s="33" t="n"/>
    </row>
    <row r="978">
      <c r="A978" s="33" t="n"/>
    </row>
    <row r="979">
      <c r="A979" s="33" t="n"/>
    </row>
    <row r="980">
      <c r="A980" s="33" t="n"/>
    </row>
    <row r="981">
      <c r="A981" s="33" t="n"/>
    </row>
    <row r="982">
      <c r="A982" s="33" t="n"/>
    </row>
    <row r="983">
      <c r="A983" s="33" t="n"/>
    </row>
    <row r="984">
      <c r="A984" s="33" t="n"/>
    </row>
    <row r="985">
      <c r="A985" s="33" t="n"/>
    </row>
    <row r="986">
      <c r="A986" s="33" t="n"/>
    </row>
    <row r="987">
      <c r="A987" s="33" t="n"/>
    </row>
    <row r="988">
      <c r="A988" s="33" t="n"/>
    </row>
    <row r="989">
      <c r="A989" s="33" t="n"/>
    </row>
    <row r="990">
      <c r="A990" s="33" t="n"/>
    </row>
    <row r="991">
      <c r="A991" s="33" t="n"/>
    </row>
    <row r="992">
      <c r="A992" s="33" t="n"/>
    </row>
    <row r="993">
      <c r="A993" s="33" t="n"/>
    </row>
    <row r="994">
      <c r="A994" s="33" t="n"/>
    </row>
    <row r="995">
      <c r="A995" s="33" t="n"/>
    </row>
    <row r="996">
      <c r="A996" s="33" t="n"/>
    </row>
    <row r="997">
      <c r="A997" s="33" t="n"/>
    </row>
    <row r="998">
      <c r="A998" s="33" t="n"/>
    </row>
    <row r="999">
      <c r="A999" s="33" t="n"/>
    </row>
    <row r="1000">
      <c r="A1000" s="33" t="n"/>
    </row>
  </sheetData>
  <mergeCells count="1">
    <mergeCell ref="A1:F1"/>
  </mergeCells>
  <conditionalFormatting sqref="E5:E1000">
    <cfRule type="expression" priority="1" dxfId="0">
      <formula>$E5="Fatto"</formula>
    </cfRule>
    <cfRule type="expression" priority="2" dxfId="4">
      <formula>$E5="In corso"</formula>
    </cfRule>
    <cfRule type="expression" priority="3" dxfId="5">
      <formula>$E5="Da fare"</formula>
    </cfRule>
    <cfRule type="expression" priority="4" dxfId="1">
      <formula>$E5="Sospeso"</formula>
    </cfRule>
  </conditionalFormatting>
  <dataValidations count="2">
    <dataValidation sqref="B5:B1000" showDropDown="0" showInputMessage="0" showErrorMessage="1" allowBlank="1" errorTitle="Valore non previsto" error="Scegli un valore dall'elenco." type="list">
      <formula1>"BE,FE,Database,Deploy,Documenti"</formula1>
    </dataValidation>
    <dataValidation sqref="E5:E1000" showDropDown="0" showInputMessage="0" showErrorMessage="1" allowBlank="1" errorTitle="Valore non previsto" error="Scegli un valore dall'elenco." type="list">
      <formula1>"Fatto,In corso,Da fare,Sospeso"</formula1>
    </dataValidation>
  </dataValidations>
  <hyperlinks>
    <hyperlink ref="F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C55A11"/>
    <outlinePr summaryBelow="1" summaryRight="1"/>
    <pageSetUpPr/>
  </sheetPr>
  <dimension ref="A1:I100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30" customWidth="1" min="4" max="4"/>
    <col width="50" customWidth="1" min="5" max="5"/>
    <col width="10" customWidth="1" min="6" max="6"/>
    <col width="50" customWidth="1" min="7" max="7"/>
    <col width="11" customWidth="1" min="8" max="8"/>
    <col width="12" customWidth="1" min="9" max="9"/>
  </cols>
  <sheetData>
    <row r="1" ht="34" customHeight="1">
      <c r="A1" s="31" t="inlineStr">
        <is>
          <t>FIX E BUG</t>
        </is>
      </c>
      <c r="B1" s="32" t="n"/>
      <c r="C1" s="32" t="n"/>
      <c r="D1" s="32" t="n"/>
      <c r="E1" s="32" t="n"/>
      <c r="F1" s="32" t="n"/>
      <c r="G1" s="32" t="n"/>
      <c r="H1" s="32" t="n"/>
      <c r="I1" s="32" t="n"/>
    </row>
    <row r="2" ht="20" customHeight="1">
      <c r="A2" s="3" t="inlineStr">
        <is>
          <t>Da compilare a mano: un difetto per riga. Area, Gravità e Stato hanno il menu a tendina.</t>
        </is>
      </c>
      <c r="I2" s="22" t="inlineStr">
        <is>
          <t>← Torna alla Dashboard</t>
        </is>
      </c>
    </row>
    <row r="4" ht="24" customHeight="1">
      <c r="A4" s="23" t="inlineStr">
        <is>
          <t>ID</t>
        </is>
      </c>
      <c r="B4" s="23" t="inlineStr">
        <is>
          <t>Data</t>
        </is>
      </c>
      <c r="C4" s="23" t="inlineStr">
        <is>
          <t>Area</t>
        </is>
      </c>
      <c r="D4" s="23" t="inlineStr">
        <is>
          <t>Dove</t>
        </is>
      </c>
      <c r="E4" s="23" t="inlineStr">
        <is>
          <t>Problema</t>
        </is>
      </c>
      <c r="F4" s="23" t="inlineStr">
        <is>
          <t>Gravità</t>
        </is>
      </c>
      <c r="G4" s="23" t="inlineStr">
        <is>
          <t>Soluzione</t>
        </is>
      </c>
      <c r="H4" s="23" t="inlineStr">
        <is>
          <t>Stato</t>
        </is>
      </c>
      <c r="I4" s="23" t="inlineStr">
        <is>
          <t>Chiuso il</t>
        </is>
      </c>
    </row>
    <row r="5">
      <c r="A5" s="24" t="inlineStr">
        <is>
          <t>CAP-002</t>
        </is>
      </c>
      <c r="B5" s="27" t="n">
        <v>46297</v>
      </c>
      <c r="C5" s="24" t="inlineStr">
        <is>
          <t>BE</t>
        </is>
      </c>
      <c r="D5" s="16" t="inlineStr">
        <is>
          <t>PrenotazioneCreateDTOValidator, CheckDisponibilitaDTOValidator; FE: VerificaDisponibilita.tsx</t>
        </is>
      </c>
      <c r="E5" s="16" t="inlineStr">
        <is>
          <t>Il tetto di 50 coperti per prenotazione è fisso nel codice</t>
        </is>
      </c>
      <c r="F5" s="24" t="inlineStr">
        <is>
          <t>Bassa</t>
        </is>
      </c>
      <c r="G5" s="16" t="inlineStr">
        <is>
          <t>Renderlo configurabile: A) valore in appsettings (consigliata) o B) impostazione dell'Admin nel database</t>
        </is>
      </c>
      <c r="H5" s="24" t="inlineStr">
        <is>
          <t>Aperto</t>
        </is>
      </c>
      <c r="I5" s="27" t="n"/>
    </row>
    <row r="6">
      <c r="A6" s="24" t="n"/>
      <c r="B6" s="27" t="n"/>
      <c r="C6" s="24" t="n"/>
      <c r="D6" s="16" t="n"/>
      <c r="E6" s="16" t="n"/>
      <c r="F6" s="24" t="n"/>
      <c r="G6" s="16" t="n"/>
      <c r="H6" s="24" t="n"/>
      <c r="I6" s="27" t="n"/>
    </row>
    <row r="7">
      <c r="A7" s="24" t="n"/>
      <c r="B7" s="27" t="n"/>
      <c r="C7" s="24" t="n"/>
      <c r="D7" s="16" t="n"/>
      <c r="E7" s="16" t="n"/>
      <c r="F7" s="24" t="n"/>
      <c r="G7" s="16" t="n"/>
      <c r="H7" s="24" t="n"/>
      <c r="I7" s="27" t="n"/>
    </row>
    <row r="8">
      <c r="A8" s="24" t="n"/>
      <c r="B8" s="27" t="n"/>
      <c r="C8" s="24" t="n"/>
      <c r="D8" s="16" t="n"/>
      <c r="E8" s="16" t="n"/>
      <c r="F8" s="24" t="n"/>
      <c r="G8" s="16" t="n"/>
      <c r="H8" s="24" t="n"/>
      <c r="I8" s="27" t="n"/>
    </row>
    <row r="9">
      <c r="A9" s="24" t="n"/>
      <c r="B9" s="27" t="n"/>
      <c r="C9" s="24" t="n"/>
      <c r="D9" s="16" t="n"/>
      <c r="E9" s="16" t="n"/>
      <c r="F9" s="24" t="n"/>
      <c r="G9" s="16" t="n"/>
      <c r="H9" s="24" t="n"/>
      <c r="I9" s="27" t="n"/>
    </row>
    <row r="10">
      <c r="A10" s="24" t="n"/>
      <c r="B10" s="27" t="n"/>
      <c r="C10" s="24" t="n"/>
      <c r="D10" s="16" t="n"/>
      <c r="E10" s="16" t="n"/>
      <c r="F10" s="24" t="n"/>
      <c r="G10" s="16" t="n"/>
      <c r="H10" s="24" t="n"/>
      <c r="I10" s="27" t="n"/>
    </row>
    <row r="11">
      <c r="A11" s="24" t="n"/>
      <c r="B11" s="27" t="n"/>
      <c r="C11" s="24" t="n"/>
      <c r="D11" s="16" t="n"/>
      <c r="E11" s="16" t="n"/>
      <c r="F11" s="24" t="n"/>
      <c r="G11" s="16" t="n"/>
      <c r="H11" s="24" t="n"/>
      <c r="I11" s="27" t="n"/>
    </row>
    <row r="12">
      <c r="A12" s="24" t="n"/>
      <c r="B12" s="27" t="n"/>
      <c r="C12" s="24" t="n"/>
      <c r="D12" s="16" t="n"/>
      <c r="E12" s="16" t="n"/>
      <c r="F12" s="24" t="n"/>
      <c r="G12" s="16" t="n"/>
      <c r="H12" s="24" t="n"/>
      <c r="I12" s="27" t="n"/>
    </row>
    <row r="13">
      <c r="A13" s="24" t="n"/>
      <c r="B13" s="27" t="n"/>
      <c r="C13" s="24" t="n"/>
      <c r="D13" s="16" t="n"/>
      <c r="E13" s="16" t="n"/>
      <c r="F13" s="24" t="n"/>
      <c r="G13" s="16" t="n"/>
      <c r="H13" s="24" t="n"/>
      <c r="I13" s="27" t="n"/>
    </row>
    <row r="14">
      <c r="A14" s="24" t="n"/>
      <c r="B14" s="27" t="n"/>
      <c r="C14" s="24" t="n"/>
      <c r="D14" s="16" t="n"/>
      <c r="E14" s="16" t="n"/>
      <c r="F14" s="24" t="n"/>
      <c r="G14" s="16" t="n"/>
      <c r="H14" s="24" t="n"/>
      <c r="I14" s="27" t="n"/>
    </row>
    <row r="15">
      <c r="A15" s="24" t="n"/>
      <c r="B15" s="27" t="n"/>
      <c r="C15" s="24" t="n"/>
      <c r="D15" s="16" t="n"/>
      <c r="E15" s="16" t="n"/>
      <c r="F15" s="24" t="n"/>
      <c r="G15" s="16" t="n"/>
      <c r="H15" s="24" t="n"/>
      <c r="I15" s="27" t="n"/>
    </row>
    <row r="16">
      <c r="A16" s="24" t="n"/>
      <c r="B16" s="27" t="n"/>
      <c r="C16" s="24" t="n"/>
      <c r="D16" s="16" t="n"/>
      <c r="E16" s="16" t="n"/>
      <c r="F16" s="24" t="n"/>
      <c r="G16" s="16" t="n"/>
      <c r="H16" s="24" t="n"/>
      <c r="I16" s="27" t="n"/>
    </row>
    <row r="17">
      <c r="A17" s="24" t="n"/>
      <c r="B17" s="27" t="n"/>
      <c r="C17" s="24" t="n"/>
      <c r="D17" s="16" t="n"/>
      <c r="E17" s="16" t="n"/>
      <c r="F17" s="24" t="n"/>
      <c r="G17" s="16" t="n"/>
      <c r="H17" s="24" t="n"/>
      <c r="I17" s="27" t="n"/>
    </row>
    <row r="18">
      <c r="A18" s="24" t="n"/>
      <c r="B18" s="27" t="n"/>
      <c r="C18" s="24" t="n"/>
      <c r="D18" s="16" t="n"/>
      <c r="E18" s="16" t="n"/>
      <c r="F18" s="24" t="n"/>
      <c r="G18" s="16" t="n"/>
      <c r="H18" s="24" t="n"/>
      <c r="I18" s="27" t="n"/>
    </row>
    <row r="19">
      <c r="A19" s="24" t="n"/>
      <c r="B19" s="27" t="n"/>
      <c r="C19" s="24" t="n"/>
      <c r="D19" s="16" t="n"/>
      <c r="E19" s="16" t="n"/>
      <c r="F19" s="24" t="n"/>
      <c r="G19" s="16" t="n"/>
      <c r="H19" s="24" t="n"/>
      <c r="I19" s="27" t="n"/>
    </row>
    <row r="20">
      <c r="A20" s="24" t="n"/>
      <c r="B20" s="27" t="n"/>
      <c r="C20" s="24" t="n"/>
      <c r="D20" s="16" t="n"/>
      <c r="E20" s="16" t="n"/>
      <c r="F20" s="24" t="n"/>
      <c r="G20" s="16" t="n"/>
      <c r="H20" s="24" t="n"/>
      <c r="I20" s="27" t="n"/>
    </row>
    <row r="21">
      <c r="A21" s="24" t="n"/>
      <c r="B21" s="27" t="n"/>
      <c r="C21" s="24" t="n"/>
      <c r="D21" s="16" t="n"/>
      <c r="E21" s="16" t="n"/>
      <c r="F21" s="24" t="n"/>
      <c r="G21" s="16" t="n"/>
      <c r="H21" s="24" t="n"/>
      <c r="I21" s="27" t="n"/>
    </row>
    <row r="22">
      <c r="A22" s="24" t="n"/>
      <c r="B22" s="27" t="n"/>
      <c r="C22" s="24" t="n"/>
      <c r="D22" s="16" t="n"/>
      <c r="E22" s="16" t="n"/>
      <c r="F22" s="24" t="n"/>
      <c r="G22" s="16" t="n"/>
      <c r="H22" s="24" t="n"/>
      <c r="I22" s="27" t="n"/>
    </row>
    <row r="23">
      <c r="A23" s="24" t="n"/>
      <c r="B23" s="27" t="n"/>
      <c r="C23" s="24" t="n"/>
      <c r="D23" s="16" t="n"/>
      <c r="E23" s="16" t="n"/>
      <c r="F23" s="24" t="n"/>
      <c r="G23" s="16" t="n"/>
      <c r="H23" s="24" t="n"/>
      <c r="I23" s="27" t="n"/>
    </row>
    <row r="24">
      <c r="A24" s="24" t="n"/>
      <c r="B24" s="27" t="n"/>
      <c r="C24" s="24" t="n"/>
      <c r="D24" s="16" t="n"/>
      <c r="E24" s="16" t="n"/>
      <c r="F24" s="24" t="n"/>
      <c r="G24" s="16" t="n"/>
      <c r="H24" s="24" t="n"/>
      <c r="I24" s="27" t="n"/>
    </row>
    <row r="25">
      <c r="A25" s="24" t="n"/>
      <c r="B25" s="27" t="n"/>
      <c r="C25" s="24" t="n"/>
      <c r="D25" s="16" t="n"/>
      <c r="E25" s="16" t="n"/>
      <c r="F25" s="24" t="n"/>
      <c r="G25" s="16" t="n"/>
      <c r="H25" s="24" t="n"/>
      <c r="I25" s="27" t="n"/>
    </row>
    <row r="26">
      <c r="A26" s="24" t="n"/>
      <c r="B26" s="27" t="n"/>
      <c r="C26" s="24" t="n"/>
      <c r="D26" s="16" t="n"/>
      <c r="E26" s="16" t="n"/>
      <c r="F26" s="24" t="n"/>
      <c r="G26" s="16" t="n"/>
      <c r="H26" s="24" t="n"/>
      <c r="I26" s="27" t="n"/>
    </row>
    <row r="27">
      <c r="A27" s="24" t="n"/>
      <c r="B27" s="27" t="n"/>
      <c r="C27" s="24" t="n"/>
      <c r="D27" s="16" t="n"/>
      <c r="E27" s="16" t="n"/>
      <c r="F27" s="24" t="n"/>
      <c r="G27" s="16" t="n"/>
      <c r="H27" s="24" t="n"/>
      <c r="I27" s="27" t="n"/>
    </row>
    <row r="28">
      <c r="A28" s="24" t="n"/>
      <c r="B28" s="27" t="n"/>
      <c r="C28" s="24" t="n"/>
      <c r="D28" s="16" t="n"/>
      <c r="E28" s="16" t="n"/>
      <c r="F28" s="24" t="n"/>
      <c r="G28" s="16" t="n"/>
      <c r="H28" s="24" t="n"/>
      <c r="I28" s="27" t="n"/>
    </row>
    <row r="29">
      <c r="A29" s="24" t="n"/>
      <c r="B29" s="27" t="n"/>
      <c r="C29" s="24" t="n"/>
      <c r="D29" s="16" t="n"/>
      <c r="E29" s="16" t="n"/>
      <c r="F29" s="24" t="n"/>
      <c r="G29" s="16" t="n"/>
      <c r="H29" s="24" t="n"/>
      <c r="I29" s="27" t="n"/>
    </row>
    <row r="30">
      <c r="A30" s="24" t="n"/>
      <c r="B30" s="27" t="n"/>
      <c r="C30" s="24" t="n"/>
      <c r="D30" s="16" t="n"/>
      <c r="E30" s="16" t="n"/>
      <c r="F30" s="24" t="n"/>
      <c r="G30" s="16" t="n"/>
      <c r="H30" s="24" t="n"/>
      <c r="I30" s="27" t="n"/>
    </row>
    <row r="31">
      <c r="A31" s="24" t="n"/>
      <c r="B31" s="27" t="n"/>
      <c r="C31" s="24" t="n"/>
      <c r="D31" s="16" t="n"/>
      <c r="E31" s="16" t="n"/>
      <c r="F31" s="24" t="n"/>
      <c r="G31" s="16" t="n"/>
      <c r="H31" s="24" t="n"/>
      <c r="I31" s="27" t="n"/>
    </row>
    <row r="32">
      <c r="A32" s="24" t="n"/>
      <c r="B32" s="27" t="n"/>
      <c r="C32" s="24" t="n"/>
      <c r="D32" s="16" t="n"/>
      <c r="E32" s="16" t="n"/>
      <c r="F32" s="24" t="n"/>
      <c r="G32" s="16" t="n"/>
      <c r="H32" s="24" t="n"/>
      <c r="I32" s="27" t="n"/>
    </row>
    <row r="33">
      <c r="A33" s="24" t="n"/>
      <c r="B33" s="27" t="n"/>
      <c r="C33" s="24" t="n"/>
      <c r="D33" s="16" t="n"/>
      <c r="E33" s="16" t="n"/>
      <c r="F33" s="24" t="n"/>
      <c r="G33" s="16" t="n"/>
      <c r="H33" s="24" t="n"/>
      <c r="I33" s="27" t="n"/>
    </row>
    <row r="34">
      <c r="A34" s="24" t="n"/>
      <c r="B34" s="27" t="n"/>
      <c r="C34" s="24" t="n"/>
      <c r="D34" s="16" t="n"/>
      <c r="E34" s="16" t="n"/>
      <c r="F34" s="24" t="n"/>
      <c r="G34" s="16" t="n"/>
      <c r="H34" s="24" t="n"/>
      <c r="I34" s="27" t="n"/>
    </row>
    <row r="35">
      <c r="B35" s="33" t="n"/>
      <c r="I35" s="33" t="n"/>
    </row>
    <row r="36">
      <c r="B36" s="33" t="n"/>
      <c r="I36" s="33" t="n"/>
    </row>
    <row r="37">
      <c r="B37" s="33" t="n"/>
      <c r="I37" s="33" t="n"/>
    </row>
    <row r="38">
      <c r="B38" s="33" t="n"/>
      <c r="I38" s="33" t="n"/>
    </row>
    <row r="39">
      <c r="B39" s="33" t="n"/>
      <c r="I39" s="33" t="n"/>
    </row>
    <row r="40">
      <c r="B40" s="33" t="n"/>
      <c r="I40" s="33" t="n"/>
    </row>
    <row r="41">
      <c r="B41" s="33" t="n"/>
      <c r="I41" s="33" t="n"/>
    </row>
    <row r="42">
      <c r="B42" s="33" t="n"/>
      <c r="I42" s="33" t="n"/>
    </row>
    <row r="43">
      <c r="B43" s="33" t="n"/>
      <c r="I43" s="33" t="n"/>
    </row>
    <row r="44">
      <c r="B44" s="33" t="n"/>
      <c r="I44" s="33" t="n"/>
    </row>
    <row r="45">
      <c r="B45" s="33" t="n"/>
      <c r="I45" s="33" t="n"/>
    </row>
    <row r="46">
      <c r="B46" s="33" t="n"/>
      <c r="I46" s="33" t="n"/>
    </row>
    <row r="47">
      <c r="B47" s="33" t="n"/>
      <c r="I47" s="33" t="n"/>
    </row>
    <row r="48">
      <c r="B48" s="33" t="n"/>
      <c r="I48" s="33" t="n"/>
    </row>
    <row r="49">
      <c r="B49" s="33" t="n"/>
      <c r="I49" s="33" t="n"/>
    </row>
    <row r="50">
      <c r="B50" s="33" t="n"/>
      <c r="I50" s="33" t="n"/>
    </row>
    <row r="51">
      <c r="B51" s="33" t="n"/>
      <c r="I51" s="33" t="n"/>
    </row>
    <row r="52">
      <c r="B52" s="33" t="n"/>
      <c r="I52" s="33" t="n"/>
    </row>
    <row r="53">
      <c r="B53" s="33" t="n"/>
      <c r="I53" s="33" t="n"/>
    </row>
    <row r="54">
      <c r="B54" s="33" t="n"/>
      <c r="I54" s="33" t="n"/>
    </row>
    <row r="55">
      <c r="B55" s="33" t="n"/>
      <c r="I55" s="33" t="n"/>
    </row>
    <row r="56">
      <c r="B56" s="33" t="n"/>
      <c r="I56" s="33" t="n"/>
    </row>
    <row r="57">
      <c r="B57" s="33" t="n"/>
      <c r="I57" s="33" t="n"/>
    </row>
    <row r="58">
      <c r="B58" s="33" t="n"/>
      <c r="I58" s="33" t="n"/>
    </row>
    <row r="59">
      <c r="B59" s="33" t="n"/>
      <c r="I59" s="33" t="n"/>
    </row>
    <row r="60">
      <c r="B60" s="33" t="n"/>
      <c r="I60" s="33" t="n"/>
    </row>
    <row r="61">
      <c r="B61" s="33" t="n"/>
      <c r="I61" s="33" t="n"/>
    </row>
    <row r="62">
      <c r="B62" s="33" t="n"/>
      <c r="I62" s="33" t="n"/>
    </row>
    <row r="63">
      <c r="B63" s="33" t="n"/>
      <c r="I63" s="33" t="n"/>
    </row>
    <row r="64">
      <c r="B64" s="33" t="n"/>
      <c r="I64" s="33" t="n"/>
    </row>
    <row r="65">
      <c r="B65" s="33" t="n"/>
      <c r="I65" s="33" t="n"/>
    </row>
    <row r="66">
      <c r="B66" s="33" t="n"/>
      <c r="I66" s="33" t="n"/>
    </row>
    <row r="67">
      <c r="B67" s="33" t="n"/>
      <c r="I67" s="33" t="n"/>
    </row>
    <row r="68">
      <c r="B68" s="33" t="n"/>
      <c r="I68" s="33" t="n"/>
    </row>
    <row r="69">
      <c r="B69" s="33" t="n"/>
      <c r="I69" s="33" t="n"/>
    </row>
    <row r="70">
      <c r="B70" s="33" t="n"/>
      <c r="I70" s="33" t="n"/>
    </row>
    <row r="71">
      <c r="B71" s="33" t="n"/>
      <c r="I71" s="33" t="n"/>
    </row>
    <row r="72">
      <c r="B72" s="33" t="n"/>
      <c r="I72" s="33" t="n"/>
    </row>
    <row r="73">
      <c r="B73" s="33" t="n"/>
      <c r="I73" s="33" t="n"/>
    </row>
    <row r="74">
      <c r="B74" s="33" t="n"/>
      <c r="I74" s="33" t="n"/>
    </row>
    <row r="75">
      <c r="B75" s="33" t="n"/>
      <c r="I75" s="33" t="n"/>
    </row>
    <row r="76">
      <c r="B76" s="33" t="n"/>
      <c r="I76" s="33" t="n"/>
    </row>
    <row r="77">
      <c r="B77" s="33" t="n"/>
      <c r="I77" s="33" t="n"/>
    </row>
    <row r="78">
      <c r="B78" s="33" t="n"/>
      <c r="I78" s="33" t="n"/>
    </row>
    <row r="79">
      <c r="B79" s="33" t="n"/>
      <c r="I79" s="33" t="n"/>
    </row>
    <row r="80">
      <c r="B80" s="33" t="n"/>
      <c r="I80" s="33" t="n"/>
    </row>
    <row r="81">
      <c r="B81" s="33" t="n"/>
      <c r="I81" s="33" t="n"/>
    </row>
    <row r="82">
      <c r="B82" s="33" t="n"/>
      <c r="I82" s="33" t="n"/>
    </row>
    <row r="83">
      <c r="B83" s="33" t="n"/>
      <c r="I83" s="33" t="n"/>
    </row>
    <row r="84">
      <c r="B84" s="33" t="n"/>
      <c r="I84" s="33" t="n"/>
    </row>
    <row r="85">
      <c r="B85" s="33" t="n"/>
      <c r="I85" s="33" t="n"/>
    </row>
    <row r="86">
      <c r="B86" s="33" t="n"/>
      <c r="I86" s="33" t="n"/>
    </row>
    <row r="87">
      <c r="B87" s="33" t="n"/>
      <c r="I87" s="33" t="n"/>
    </row>
    <row r="88">
      <c r="B88" s="33" t="n"/>
      <c r="I88" s="33" t="n"/>
    </row>
    <row r="89">
      <c r="B89" s="33" t="n"/>
      <c r="I89" s="33" t="n"/>
    </row>
    <row r="90">
      <c r="B90" s="33" t="n"/>
      <c r="I90" s="33" t="n"/>
    </row>
    <row r="91">
      <c r="B91" s="33" t="n"/>
      <c r="I91" s="33" t="n"/>
    </row>
    <row r="92">
      <c r="B92" s="33" t="n"/>
      <c r="I92" s="33" t="n"/>
    </row>
    <row r="93">
      <c r="B93" s="33" t="n"/>
      <c r="I93" s="33" t="n"/>
    </row>
    <row r="94">
      <c r="B94" s="33" t="n"/>
      <c r="I94" s="33" t="n"/>
    </row>
    <row r="95">
      <c r="B95" s="33" t="n"/>
      <c r="I95" s="33" t="n"/>
    </row>
    <row r="96">
      <c r="B96" s="33" t="n"/>
      <c r="I96" s="33" t="n"/>
    </row>
    <row r="97">
      <c r="B97" s="33" t="n"/>
      <c r="I97" s="33" t="n"/>
    </row>
    <row r="98">
      <c r="B98" s="33" t="n"/>
      <c r="I98" s="33" t="n"/>
    </row>
    <row r="99">
      <c r="B99" s="33" t="n"/>
      <c r="I99" s="33" t="n"/>
    </row>
    <row r="100">
      <c r="B100" s="33" t="n"/>
      <c r="I100" s="33" t="n"/>
    </row>
    <row r="101">
      <c r="B101" s="33" t="n"/>
      <c r="I101" s="33" t="n"/>
    </row>
    <row r="102">
      <c r="B102" s="33" t="n"/>
      <c r="I102" s="33" t="n"/>
    </row>
    <row r="103">
      <c r="B103" s="33" t="n"/>
      <c r="I103" s="33" t="n"/>
    </row>
    <row r="104">
      <c r="B104" s="33" t="n"/>
      <c r="I104" s="33" t="n"/>
    </row>
    <row r="105">
      <c r="B105" s="33" t="n"/>
      <c r="I105" s="33" t="n"/>
    </row>
    <row r="106">
      <c r="B106" s="33" t="n"/>
      <c r="I106" s="33" t="n"/>
    </row>
    <row r="107">
      <c r="B107" s="33" t="n"/>
      <c r="I107" s="33" t="n"/>
    </row>
    <row r="108">
      <c r="B108" s="33" t="n"/>
      <c r="I108" s="33" t="n"/>
    </row>
    <row r="109">
      <c r="B109" s="33" t="n"/>
      <c r="I109" s="33" t="n"/>
    </row>
    <row r="110">
      <c r="B110" s="33" t="n"/>
      <c r="I110" s="33" t="n"/>
    </row>
    <row r="111">
      <c r="B111" s="33" t="n"/>
      <c r="I111" s="33" t="n"/>
    </row>
    <row r="112">
      <c r="B112" s="33" t="n"/>
      <c r="I112" s="33" t="n"/>
    </row>
    <row r="113">
      <c r="B113" s="33" t="n"/>
      <c r="I113" s="33" t="n"/>
    </row>
    <row r="114">
      <c r="B114" s="33" t="n"/>
      <c r="I114" s="33" t="n"/>
    </row>
    <row r="115">
      <c r="B115" s="33" t="n"/>
      <c r="I115" s="33" t="n"/>
    </row>
    <row r="116">
      <c r="B116" s="33" t="n"/>
      <c r="I116" s="33" t="n"/>
    </row>
    <row r="117">
      <c r="B117" s="33" t="n"/>
      <c r="I117" s="33" t="n"/>
    </row>
    <row r="118">
      <c r="B118" s="33" t="n"/>
      <c r="I118" s="33" t="n"/>
    </row>
    <row r="119">
      <c r="B119" s="33" t="n"/>
      <c r="I119" s="33" t="n"/>
    </row>
    <row r="120">
      <c r="B120" s="33" t="n"/>
      <c r="I120" s="33" t="n"/>
    </row>
    <row r="121">
      <c r="B121" s="33" t="n"/>
      <c r="I121" s="33" t="n"/>
    </row>
    <row r="122">
      <c r="B122" s="33" t="n"/>
      <c r="I122" s="33" t="n"/>
    </row>
    <row r="123">
      <c r="B123" s="33" t="n"/>
      <c r="I123" s="33" t="n"/>
    </row>
    <row r="124">
      <c r="B124" s="33" t="n"/>
      <c r="I124" s="33" t="n"/>
    </row>
    <row r="125">
      <c r="B125" s="33" t="n"/>
      <c r="I125" s="33" t="n"/>
    </row>
    <row r="126">
      <c r="B126" s="33" t="n"/>
      <c r="I126" s="33" t="n"/>
    </row>
    <row r="127">
      <c r="B127" s="33" t="n"/>
      <c r="I127" s="33" t="n"/>
    </row>
    <row r="128">
      <c r="B128" s="33" t="n"/>
      <c r="I128" s="33" t="n"/>
    </row>
    <row r="129">
      <c r="B129" s="33" t="n"/>
      <c r="I129" s="33" t="n"/>
    </row>
    <row r="130">
      <c r="B130" s="33" t="n"/>
      <c r="I130" s="33" t="n"/>
    </row>
    <row r="131">
      <c r="B131" s="33" t="n"/>
      <c r="I131" s="33" t="n"/>
    </row>
    <row r="132">
      <c r="B132" s="33" t="n"/>
      <c r="I132" s="33" t="n"/>
    </row>
    <row r="133">
      <c r="B133" s="33" t="n"/>
      <c r="I133" s="33" t="n"/>
    </row>
    <row r="134">
      <c r="B134" s="33" t="n"/>
      <c r="I134" s="33" t="n"/>
    </row>
    <row r="135">
      <c r="B135" s="33" t="n"/>
      <c r="I135" s="33" t="n"/>
    </row>
    <row r="136">
      <c r="B136" s="33" t="n"/>
      <c r="I136" s="33" t="n"/>
    </row>
    <row r="137">
      <c r="B137" s="33" t="n"/>
      <c r="I137" s="33" t="n"/>
    </row>
    <row r="138">
      <c r="B138" s="33" t="n"/>
      <c r="I138" s="33" t="n"/>
    </row>
    <row r="139">
      <c r="B139" s="33" t="n"/>
      <c r="I139" s="33" t="n"/>
    </row>
    <row r="140">
      <c r="B140" s="33" t="n"/>
      <c r="I140" s="33" t="n"/>
    </row>
    <row r="141">
      <c r="B141" s="33" t="n"/>
      <c r="I141" s="33" t="n"/>
    </row>
    <row r="142">
      <c r="B142" s="33" t="n"/>
      <c r="I142" s="33" t="n"/>
    </row>
    <row r="143">
      <c r="B143" s="33" t="n"/>
      <c r="I143" s="33" t="n"/>
    </row>
    <row r="144">
      <c r="B144" s="33" t="n"/>
      <c r="I144" s="33" t="n"/>
    </row>
    <row r="145">
      <c r="B145" s="33" t="n"/>
      <c r="I145" s="33" t="n"/>
    </row>
    <row r="146">
      <c r="B146" s="33" t="n"/>
      <c r="I146" s="33" t="n"/>
    </row>
    <row r="147">
      <c r="B147" s="33" t="n"/>
      <c r="I147" s="33" t="n"/>
    </row>
    <row r="148">
      <c r="B148" s="33" t="n"/>
      <c r="I148" s="33" t="n"/>
    </row>
    <row r="149">
      <c r="B149" s="33" t="n"/>
      <c r="I149" s="33" t="n"/>
    </row>
    <row r="150">
      <c r="B150" s="33" t="n"/>
      <c r="I150" s="33" t="n"/>
    </row>
    <row r="151">
      <c r="B151" s="33" t="n"/>
      <c r="I151" s="33" t="n"/>
    </row>
    <row r="152">
      <c r="B152" s="33" t="n"/>
      <c r="I152" s="33" t="n"/>
    </row>
    <row r="153">
      <c r="B153" s="33" t="n"/>
      <c r="I153" s="33" t="n"/>
    </row>
    <row r="154">
      <c r="B154" s="33" t="n"/>
      <c r="I154" s="33" t="n"/>
    </row>
    <row r="155">
      <c r="B155" s="33" t="n"/>
      <c r="I155" s="33" t="n"/>
    </row>
    <row r="156">
      <c r="B156" s="33" t="n"/>
      <c r="I156" s="33" t="n"/>
    </row>
    <row r="157">
      <c r="B157" s="33" t="n"/>
      <c r="I157" s="33" t="n"/>
    </row>
    <row r="158">
      <c r="B158" s="33" t="n"/>
      <c r="I158" s="33" t="n"/>
    </row>
    <row r="159">
      <c r="B159" s="33" t="n"/>
      <c r="I159" s="33" t="n"/>
    </row>
    <row r="160">
      <c r="B160" s="33" t="n"/>
      <c r="I160" s="33" t="n"/>
    </row>
    <row r="161">
      <c r="B161" s="33" t="n"/>
      <c r="I161" s="33" t="n"/>
    </row>
    <row r="162">
      <c r="B162" s="33" t="n"/>
      <c r="I162" s="33" t="n"/>
    </row>
    <row r="163">
      <c r="B163" s="33" t="n"/>
      <c r="I163" s="33" t="n"/>
    </row>
    <row r="164">
      <c r="B164" s="33" t="n"/>
      <c r="I164" s="33" t="n"/>
    </row>
    <row r="165">
      <c r="B165" s="33" t="n"/>
      <c r="I165" s="33" t="n"/>
    </row>
    <row r="166">
      <c r="B166" s="33" t="n"/>
      <c r="I166" s="33" t="n"/>
    </row>
    <row r="167">
      <c r="B167" s="33" t="n"/>
      <c r="I167" s="33" t="n"/>
    </row>
    <row r="168">
      <c r="B168" s="33" t="n"/>
      <c r="I168" s="33" t="n"/>
    </row>
    <row r="169">
      <c r="B169" s="33" t="n"/>
      <c r="I169" s="33" t="n"/>
    </row>
    <row r="170">
      <c r="B170" s="33" t="n"/>
      <c r="I170" s="33" t="n"/>
    </row>
    <row r="171">
      <c r="B171" s="33" t="n"/>
      <c r="I171" s="33" t="n"/>
    </row>
    <row r="172">
      <c r="B172" s="33" t="n"/>
      <c r="I172" s="33" t="n"/>
    </row>
    <row r="173">
      <c r="B173" s="33" t="n"/>
      <c r="I173" s="33" t="n"/>
    </row>
    <row r="174">
      <c r="B174" s="33" t="n"/>
      <c r="I174" s="33" t="n"/>
    </row>
    <row r="175">
      <c r="B175" s="33" t="n"/>
      <c r="I175" s="33" t="n"/>
    </row>
    <row r="176">
      <c r="B176" s="33" t="n"/>
      <c r="I176" s="33" t="n"/>
    </row>
    <row r="177">
      <c r="B177" s="33" t="n"/>
      <c r="I177" s="33" t="n"/>
    </row>
    <row r="178">
      <c r="B178" s="33" t="n"/>
      <c r="I178" s="33" t="n"/>
    </row>
    <row r="179">
      <c r="B179" s="33" t="n"/>
      <c r="I179" s="33" t="n"/>
    </row>
    <row r="180">
      <c r="B180" s="33" t="n"/>
      <c r="I180" s="33" t="n"/>
    </row>
    <row r="181">
      <c r="B181" s="33" t="n"/>
      <c r="I181" s="33" t="n"/>
    </row>
    <row r="182">
      <c r="B182" s="33" t="n"/>
      <c r="I182" s="33" t="n"/>
    </row>
    <row r="183">
      <c r="B183" s="33" t="n"/>
      <c r="I183" s="33" t="n"/>
    </row>
    <row r="184">
      <c r="B184" s="33" t="n"/>
      <c r="I184" s="33" t="n"/>
    </row>
    <row r="185">
      <c r="B185" s="33" t="n"/>
      <c r="I185" s="33" t="n"/>
    </row>
    <row r="186">
      <c r="B186" s="33" t="n"/>
      <c r="I186" s="33" t="n"/>
    </row>
    <row r="187">
      <c r="B187" s="33" t="n"/>
      <c r="I187" s="33" t="n"/>
    </row>
    <row r="188">
      <c r="B188" s="33" t="n"/>
      <c r="I188" s="33" t="n"/>
    </row>
    <row r="189">
      <c r="B189" s="33" t="n"/>
      <c r="I189" s="33" t="n"/>
    </row>
    <row r="190">
      <c r="B190" s="33" t="n"/>
      <c r="I190" s="33" t="n"/>
    </row>
    <row r="191">
      <c r="B191" s="33" t="n"/>
      <c r="I191" s="33" t="n"/>
    </row>
    <row r="192">
      <c r="B192" s="33" t="n"/>
      <c r="I192" s="33" t="n"/>
    </row>
    <row r="193">
      <c r="B193" s="33" t="n"/>
      <c r="I193" s="33" t="n"/>
    </row>
    <row r="194">
      <c r="B194" s="33" t="n"/>
      <c r="I194" s="33" t="n"/>
    </row>
    <row r="195">
      <c r="B195" s="33" t="n"/>
      <c r="I195" s="33" t="n"/>
    </row>
    <row r="196">
      <c r="B196" s="33" t="n"/>
      <c r="I196" s="33" t="n"/>
    </row>
    <row r="197">
      <c r="B197" s="33" t="n"/>
      <c r="I197" s="33" t="n"/>
    </row>
    <row r="198">
      <c r="B198" s="33" t="n"/>
      <c r="I198" s="33" t="n"/>
    </row>
    <row r="199">
      <c r="B199" s="33" t="n"/>
      <c r="I199" s="33" t="n"/>
    </row>
    <row r="200">
      <c r="B200" s="33" t="n"/>
      <c r="I200" s="33" t="n"/>
    </row>
    <row r="201">
      <c r="B201" s="33" t="n"/>
      <c r="I201" s="33" t="n"/>
    </row>
    <row r="202">
      <c r="B202" s="33" t="n"/>
      <c r="I202" s="33" t="n"/>
    </row>
    <row r="203">
      <c r="B203" s="33" t="n"/>
      <c r="I203" s="33" t="n"/>
    </row>
    <row r="204">
      <c r="B204" s="33" t="n"/>
      <c r="I204" s="33" t="n"/>
    </row>
    <row r="205">
      <c r="B205" s="33" t="n"/>
      <c r="I205" s="33" t="n"/>
    </row>
    <row r="206">
      <c r="B206" s="33" t="n"/>
      <c r="I206" s="33" t="n"/>
    </row>
    <row r="207">
      <c r="B207" s="33" t="n"/>
      <c r="I207" s="33" t="n"/>
    </row>
    <row r="208">
      <c r="B208" s="33" t="n"/>
      <c r="I208" s="33" t="n"/>
    </row>
    <row r="209">
      <c r="B209" s="33" t="n"/>
      <c r="I209" s="33" t="n"/>
    </row>
    <row r="210">
      <c r="B210" s="33" t="n"/>
      <c r="I210" s="33" t="n"/>
    </row>
    <row r="211">
      <c r="B211" s="33" t="n"/>
      <c r="I211" s="33" t="n"/>
    </row>
    <row r="212">
      <c r="B212" s="33" t="n"/>
      <c r="I212" s="33" t="n"/>
    </row>
    <row r="213">
      <c r="B213" s="33" t="n"/>
      <c r="I213" s="33" t="n"/>
    </row>
    <row r="214">
      <c r="B214" s="33" t="n"/>
      <c r="I214" s="33" t="n"/>
    </row>
    <row r="215">
      <c r="B215" s="33" t="n"/>
      <c r="I215" s="33" t="n"/>
    </row>
    <row r="216">
      <c r="B216" s="33" t="n"/>
      <c r="I216" s="33" t="n"/>
    </row>
    <row r="217">
      <c r="B217" s="33" t="n"/>
      <c r="I217" s="33" t="n"/>
    </row>
    <row r="218">
      <c r="B218" s="33" t="n"/>
      <c r="I218" s="33" t="n"/>
    </row>
    <row r="219">
      <c r="B219" s="33" t="n"/>
      <c r="I219" s="33" t="n"/>
    </row>
    <row r="220">
      <c r="B220" s="33" t="n"/>
      <c r="I220" s="33" t="n"/>
    </row>
    <row r="221">
      <c r="B221" s="33" t="n"/>
      <c r="I221" s="33" t="n"/>
    </row>
    <row r="222">
      <c r="B222" s="33" t="n"/>
      <c r="I222" s="33" t="n"/>
    </row>
    <row r="223">
      <c r="B223" s="33" t="n"/>
      <c r="I223" s="33" t="n"/>
    </row>
    <row r="224">
      <c r="B224" s="33" t="n"/>
      <c r="I224" s="33" t="n"/>
    </row>
    <row r="225">
      <c r="B225" s="33" t="n"/>
      <c r="I225" s="33" t="n"/>
    </row>
    <row r="226">
      <c r="B226" s="33" t="n"/>
      <c r="I226" s="33" t="n"/>
    </row>
    <row r="227">
      <c r="B227" s="33" t="n"/>
      <c r="I227" s="33" t="n"/>
    </row>
    <row r="228">
      <c r="B228" s="33" t="n"/>
      <c r="I228" s="33" t="n"/>
    </row>
    <row r="229">
      <c r="B229" s="33" t="n"/>
      <c r="I229" s="33" t="n"/>
    </row>
    <row r="230">
      <c r="B230" s="33" t="n"/>
      <c r="I230" s="33" t="n"/>
    </row>
    <row r="231">
      <c r="B231" s="33" t="n"/>
      <c r="I231" s="33" t="n"/>
    </row>
    <row r="232">
      <c r="B232" s="33" t="n"/>
      <c r="I232" s="33" t="n"/>
    </row>
    <row r="233">
      <c r="B233" s="33" t="n"/>
      <c r="I233" s="33" t="n"/>
    </row>
    <row r="234">
      <c r="B234" s="33" t="n"/>
      <c r="I234" s="33" t="n"/>
    </row>
    <row r="235">
      <c r="B235" s="33" t="n"/>
      <c r="I235" s="33" t="n"/>
    </row>
    <row r="236">
      <c r="B236" s="33" t="n"/>
      <c r="I236" s="33" t="n"/>
    </row>
    <row r="237">
      <c r="B237" s="33" t="n"/>
      <c r="I237" s="33" t="n"/>
    </row>
    <row r="238">
      <c r="B238" s="33" t="n"/>
      <c r="I238" s="33" t="n"/>
    </row>
    <row r="239">
      <c r="B239" s="33" t="n"/>
      <c r="I239" s="33" t="n"/>
    </row>
    <row r="240">
      <c r="B240" s="33" t="n"/>
      <c r="I240" s="33" t="n"/>
    </row>
    <row r="241">
      <c r="B241" s="33" t="n"/>
      <c r="I241" s="33" t="n"/>
    </row>
    <row r="242">
      <c r="B242" s="33" t="n"/>
      <c r="I242" s="33" t="n"/>
    </row>
    <row r="243">
      <c r="B243" s="33" t="n"/>
      <c r="I243" s="33" t="n"/>
    </row>
    <row r="244">
      <c r="B244" s="33" t="n"/>
      <c r="I244" s="33" t="n"/>
    </row>
    <row r="245">
      <c r="B245" s="33" t="n"/>
      <c r="I245" s="33" t="n"/>
    </row>
    <row r="246">
      <c r="B246" s="33" t="n"/>
      <c r="I246" s="33" t="n"/>
    </row>
    <row r="247">
      <c r="B247" s="33" t="n"/>
      <c r="I247" s="33" t="n"/>
    </row>
    <row r="248">
      <c r="B248" s="33" t="n"/>
      <c r="I248" s="33" t="n"/>
    </row>
    <row r="249">
      <c r="B249" s="33" t="n"/>
      <c r="I249" s="33" t="n"/>
    </row>
    <row r="250">
      <c r="B250" s="33" t="n"/>
      <c r="I250" s="33" t="n"/>
    </row>
    <row r="251">
      <c r="B251" s="33" t="n"/>
      <c r="I251" s="33" t="n"/>
    </row>
    <row r="252">
      <c r="B252" s="33" t="n"/>
      <c r="I252" s="33" t="n"/>
    </row>
    <row r="253">
      <c r="B253" s="33" t="n"/>
      <c r="I253" s="33" t="n"/>
    </row>
    <row r="254">
      <c r="B254" s="33" t="n"/>
      <c r="I254" s="33" t="n"/>
    </row>
    <row r="255">
      <c r="B255" s="33" t="n"/>
      <c r="I255" s="33" t="n"/>
    </row>
    <row r="256">
      <c r="B256" s="33" t="n"/>
      <c r="I256" s="33" t="n"/>
    </row>
    <row r="257">
      <c r="B257" s="33" t="n"/>
      <c r="I257" s="33" t="n"/>
    </row>
    <row r="258">
      <c r="B258" s="33" t="n"/>
      <c r="I258" s="33" t="n"/>
    </row>
    <row r="259">
      <c r="B259" s="33" t="n"/>
      <c r="I259" s="33" t="n"/>
    </row>
    <row r="260">
      <c r="B260" s="33" t="n"/>
      <c r="I260" s="33" t="n"/>
    </row>
    <row r="261">
      <c r="B261" s="33" t="n"/>
      <c r="I261" s="33" t="n"/>
    </row>
    <row r="262">
      <c r="B262" s="33" t="n"/>
      <c r="I262" s="33" t="n"/>
    </row>
    <row r="263">
      <c r="B263" s="33" t="n"/>
      <c r="I263" s="33" t="n"/>
    </row>
    <row r="264">
      <c r="B264" s="33" t="n"/>
      <c r="I264" s="33" t="n"/>
    </row>
    <row r="265">
      <c r="B265" s="33" t="n"/>
      <c r="I265" s="33" t="n"/>
    </row>
    <row r="266">
      <c r="B266" s="33" t="n"/>
      <c r="I266" s="33" t="n"/>
    </row>
    <row r="267">
      <c r="B267" s="33" t="n"/>
      <c r="I267" s="33" t="n"/>
    </row>
    <row r="268">
      <c r="B268" s="33" t="n"/>
      <c r="I268" s="33" t="n"/>
    </row>
    <row r="269">
      <c r="B269" s="33" t="n"/>
      <c r="I269" s="33" t="n"/>
    </row>
    <row r="270">
      <c r="B270" s="33" t="n"/>
      <c r="I270" s="33" t="n"/>
    </row>
    <row r="271">
      <c r="B271" s="33" t="n"/>
      <c r="I271" s="33" t="n"/>
    </row>
    <row r="272">
      <c r="B272" s="33" t="n"/>
      <c r="I272" s="33" t="n"/>
    </row>
    <row r="273">
      <c r="B273" s="33" t="n"/>
      <c r="I273" s="33" t="n"/>
    </row>
    <row r="274">
      <c r="B274" s="33" t="n"/>
      <c r="I274" s="33" t="n"/>
    </row>
    <row r="275">
      <c r="B275" s="33" t="n"/>
      <c r="I275" s="33" t="n"/>
    </row>
    <row r="276">
      <c r="B276" s="33" t="n"/>
      <c r="I276" s="33" t="n"/>
    </row>
    <row r="277">
      <c r="B277" s="33" t="n"/>
      <c r="I277" s="33" t="n"/>
    </row>
    <row r="278">
      <c r="B278" s="33" t="n"/>
      <c r="I278" s="33" t="n"/>
    </row>
    <row r="279">
      <c r="B279" s="33" t="n"/>
      <c r="I279" s="33" t="n"/>
    </row>
    <row r="280">
      <c r="B280" s="33" t="n"/>
      <c r="I280" s="33" t="n"/>
    </row>
    <row r="281">
      <c r="B281" s="33" t="n"/>
      <c r="I281" s="33" t="n"/>
    </row>
    <row r="282">
      <c r="B282" s="33" t="n"/>
      <c r="I282" s="33" t="n"/>
    </row>
    <row r="283">
      <c r="B283" s="33" t="n"/>
      <c r="I283" s="33" t="n"/>
    </row>
    <row r="284">
      <c r="B284" s="33" t="n"/>
      <c r="I284" s="33" t="n"/>
    </row>
    <row r="285">
      <c r="B285" s="33" t="n"/>
      <c r="I285" s="33" t="n"/>
    </row>
    <row r="286">
      <c r="B286" s="33" t="n"/>
      <c r="I286" s="33" t="n"/>
    </row>
    <row r="287">
      <c r="B287" s="33" t="n"/>
      <c r="I287" s="33" t="n"/>
    </row>
    <row r="288">
      <c r="B288" s="33" t="n"/>
      <c r="I288" s="33" t="n"/>
    </row>
    <row r="289">
      <c r="B289" s="33" t="n"/>
      <c r="I289" s="33" t="n"/>
    </row>
    <row r="290">
      <c r="B290" s="33" t="n"/>
      <c r="I290" s="33" t="n"/>
    </row>
    <row r="291">
      <c r="B291" s="33" t="n"/>
      <c r="I291" s="33" t="n"/>
    </row>
    <row r="292">
      <c r="B292" s="33" t="n"/>
      <c r="I292" s="33" t="n"/>
    </row>
    <row r="293">
      <c r="B293" s="33" t="n"/>
      <c r="I293" s="33" t="n"/>
    </row>
    <row r="294">
      <c r="B294" s="33" t="n"/>
      <c r="I294" s="33" t="n"/>
    </row>
    <row r="295">
      <c r="B295" s="33" t="n"/>
      <c r="I295" s="33" t="n"/>
    </row>
    <row r="296">
      <c r="B296" s="33" t="n"/>
      <c r="I296" s="33" t="n"/>
    </row>
    <row r="297">
      <c r="B297" s="33" t="n"/>
      <c r="I297" s="33" t="n"/>
    </row>
    <row r="298">
      <c r="B298" s="33" t="n"/>
      <c r="I298" s="33" t="n"/>
    </row>
    <row r="299">
      <c r="B299" s="33" t="n"/>
      <c r="I299" s="33" t="n"/>
    </row>
    <row r="300">
      <c r="B300" s="33" t="n"/>
      <c r="I300" s="33" t="n"/>
    </row>
    <row r="301">
      <c r="B301" s="33" t="n"/>
      <c r="I301" s="33" t="n"/>
    </row>
    <row r="302">
      <c r="B302" s="33" t="n"/>
      <c r="I302" s="33" t="n"/>
    </row>
    <row r="303">
      <c r="B303" s="33" t="n"/>
      <c r="I303" s="33" t="n"/>
    </row>
    <row r="304">
      <c r="B304" s="33" t="n"/>
      <c r="I304" s="33" t="n"/>
    </row>
    <row r="305">
      <c r="B305" s="33" t="n"/>
      <c r="I305" s="33" t="n"/>
    </row>
    <row r="306">
      <c r="B306" s="33" t="n"/>
      <c r="I306" s="33" t="n"/>
    </row>
    <row r="307">
      <c r="B307" s="33" t="n"/>
      <c r="I307" s="33" t="n"/>
    </row>
    <row r="308">
      <c r="B308" s="33" t="n"/>
      <c r="I308" s="33" t="n"/>
    </row>
    <row r="309">
      <c r="B309" s="33" t="n"/>
      <c r="I309" s="33" t="n"/>
    </row>
    <row r="310">
      <c r="B310" s="33" t="n"/>
      <c r="I310" s="33" t="n"/>
    </row>
    <row r="311">
      <c r="B311" s="33" t="n"/>
      <c r="I311" s="33" t="n"/>
    </row>
    <row r="312">
      <c r="B312" s="33" t="n"/>
      <c r="I312" s="33" t="n"/>
    </row>
    <row r="313">
      <c r="B313" s="33" t="n"/>
      <c r="I313" s="33" t="n"/>
    </row>
    <row r="314">
      <c r="B314" s="33" t="n"/>
      <c r="I314" s="33" t="n"/>
    </row>
    <row r="315">
      <c r="B315" s="33" t="n"/>
      <c r="I315" s="33" t="n"/>
    </row>
    <row r="316">
      <c r="B316" s="33" t="n"/>
      <c r="I316" s="33" t="n"/>
    </row>
    <row r="317">
      <c r="B317" s="33" t="n"/>
      <c r="I317" s="33" t="n"/>
    </row>
    <row r="318">
      <c r="B318" s="33" t="n"/>
      <c r="I318" s="33" t="n"/>
    </row>
    <row r="319">
      <c r="B319" s="33" t="n"/>
      <c r="I319" s="33" t="n"/>
    </row>
    <row r="320">
      <c r="B320" s="33" t="n"/>
      <c r="I320" s="33" t="n"/>
    </row>
    <row r="321">
      <c r="B321" s="33" t="n"/>
      <c r="I321" s="33" t="n"/>
    </row>
    <row r="322">
      <c r="B322" s="33" t="n"/>
      <c r="I322" s="33" t="n"/>
    </row>
    <row r="323">
      <c r="B323" s="33" t="n"/>
      <c r="I323" s="33" t="n"/>
    </row>
    <row r="324">
      <c r="B324" s="33" t="n"/>
      <c r="I324" s="33" t="n"/>
    </row>
    <row r="325">
      <c r="B325" s="33" t="n"/>
      <c r="I325" s="33" t="n"/>
    </row>
    <row r="326">
      <c r="B326" s="33" t="n"/>
      <c r="I326" s="33" t="n"/>
    </row>
    <row r="327">
      <c r="B327" s="33" t="n"/>
      <c r="I327" s="33" t="n"/>
    </row>
    <row r="328">
      <c r="B328" s="33" t="n"/>
      <c r="I328" s="33" t="n"/>
    </row>
    <row r="329">
      <c r="B329" s="33" t="n"/>
      <c r="I329" s="33" t="n"/>
    </row>
    <row r="330">
      <c r="B330" s="33" t="n"/>
      <c r="I330" s="33" t="n"/>
    </row>
    <row r="331">
      <c r="B331" s="33" t="n"/>
      <c r="I331" s="33" t="n"/>
    </row>
    <row r="332">
      <c r="B332" s="33" t="n"/>
      <c r="I332" s="33" t="n"/>
    </row>
    <row r="333">
      <c r="B333" s="33" t="n"/>
      <c r="I333" s="33" t="n"/>
    </row>
    <row r="334">
      <c r="B334" s="33" t="n"/>
      <c r="I334" s="33" t="n"/>
    </row>
    <row r="335">
      <c r="B335" s="33" t="n"/>
      <c r="I335" s="33" t="n"/>
    </row>
    <row r="336">
      <c r="B336" s="33" t="n"/>
      <c r="I336" s="33" t="n"/>
    </row>
    <row r="337">
      <c r="B337" s="33" t="n"/>
      <c r="I337" s="33" t="n"/>
    </row>
    <row r="338">
      <c r="B338" s="33" t="n"/>
      <c r="I338" s="33" t="n"/>
    </row>
    <row r="339">
      <c r="B339" s="33" t="n"/>
      <c r="I339" s="33" t="n"/>
    </row>
    <row r="340">
      <c r="B340" s="33" t="n"/>
      <c r="I340" s="33" t="n"/>
    </row>
    <row r="341">
      <c r="B341" s="33" t="n"/>
      <c r="I341" s="33" t="n"/>
    </row>
    <row r="342">
      <c r="B342" s="33" t="n"/>
      <c r="I342" s="33" t="n"/>
    </row>
    <row r="343">
      <c r="B343" s="33" t="n"/>
      <c r="I343" s="33" t="n"/>
    </row>
    <row r="344">
      <c r="B344" s="33" t="n"/>
      <c r="I344" s="33" t="n"/>
    </row>
    <row r="345">
      <c r="B345" s="33" t="n"/>
      <c r="I345" s="33" t="n"/>
    </row>
    <row r="346">
      <c r="B346" s="33" t="n"/>
      <c r="I346" s="33" t="n"/>
    </row>
    <row r="347">
      <c r="B347" s="33" t="n"/>
      <c r="I347" s="33" t="n"/>
    </row>
    <row r="348">
      <c r="B348" s="33" t="n"/>
      <c r="I348" s="33" t="n"/>
    </row>
    <row r="349">
      <c r="B349" s="33" t="n"/>
      <c r="I349" s="33" t="n"/>
    </row>
    <row r="350">
      <c r="B350" s="33" t="n"/>
      <c r="I350" s="33" t="n"/>
    </row>
    <row r="351">
      <c r="B351" s="33" t="n"/>
      <c r="I351" s="33" t="n"/>
    </row>
    <row r="352">
      <c r="B352" s="33" t="n"/>
      <c r="I352" s="33" t="n"/>
    </row>
    <row r="353">
      <c r="B353" s="33" t="n"/>
      <c r="I353" s="33" t="n"/>
    </row>
    <row r="354">
      <c r="B354" s="33" t="n"/>
      <c r="I354" s="33" t="n"/>
    </row>
    <row r="355">
      <c r="B355" s="33" t="n"/>
      <c r="I355" s="33" t="n"/>
    </row>
    <row r="356">
      <c r="B356" s="33" t="n"/>
      <c r="I356" s="33" t="n"/>
    </row>
    <row r="357">
      <c r="B357" s="33" t="n"/>
      <c r="I357" s="33" t="n"/>
    </row>
    <row r="358">
      <c r="B358" s="33" t="n"/>
      <c r="I358" s="33" t="n"/>
    </row>
    <row r="359">
      <c r="B359" s="33" t="n"/>
      <c r="I359" s="33" t="n"/>
    </row>
    <row r="360">
      <c r="B360" s="33" t="n"/>
      <c r="I360" s="33" t="n"/>
    </row>
    <row r="361">
      <c r="B361" s="33" t="n"/>
      <c r="I361" s="33" t="n"/>
    </row>
    <row r="362">
      <c r="B362" s="33" t="n"/>
      <c r="I362" s="33" t="n"/>
    </row>
    <row r="363">
      <c r="B363" s="33" t="n"/>
      <c r="I363" s="33" t="n"/>
    </row>
    <row r="364">
      <c r="B364" s="33" t="n"/>
      <c r="I364" s="33" t="n"/>
    </row>
    <row r="365">
      <c r="B365" s="33" t="n"/>
      <c r="I365" s="33" t="n"/>
    </row>
    <row r="366">
      <c r="B366" s="33" t="n"/>
      <c r="I366" s="33" t="n"/>
    </row>
    <row r="367">
      <c r="B367" s="33" t="n"/>
      <c r="I367" s="33" t="n"/>
    </row>
    <row r="368">
      <c r="B368" s="33" t="n"/>
      <c r="I368" s="33" t="n"/>
    </row>
    <row r="369">
      <c r="B369" s="33" t="n"/>
      <c r="I369" s="33" t="n"/>
    </row>
    <row r="370">
      <c r="B370" s="33" t="n"/>
      <c r="I370" s="33" t="n"/>
    </row>
    <row r="371">
      <c r="B371" s="33" t="n"/>
      <c r="I371" s="33" t="n"/>
    </row>
    <row r="372">
      <c r="B372" s="33" t="n"/>
      <c r="I372" s="33" t="n"/>
    </row>
    <row r="373">
      <c r="B373" s="33" t="n"/>
      <c r="I373" s="33" t="n"/>
    </row>
    <row r="374">
      <c r="B374" s="33" t="n"/>
      <c r="I374" s="33" t="n"/>
    </row>
    <row r="375">
      <c r="B375" s="33" t="n"/>
      <c r="I375" s="33" t="n"/>
    </row>
    <row r="376">
      <c r="B376" s="33" t="n"/>
      <c r="I376" s="33" t="n"/>
    </row>
    <row r="377">
      <c r="B377" s="33" t="n"/>
      <c r="I377" s="33" t="n"/>
    </row>
    <row r="378">
      <c r="B378" s="33" t="n"/>
      <c r="I378" s="33" t="n"/>
    </row>
    <row r="379">
      <c r="B379" s="33" t="n"/>
      <c r="I379" s="33" t="n"/>
    </row>
    <row r="380">
      <c r="B380" s="33" t="n"/>
      <c r="I380" s="33" t="n"/>
    </row>
    <row r="381">
      <c r="B381" s="33" t="n"/>
      <c r="I381" s="33" t="n"/>
    </row>
    <row r="382">
      <c r="B382" s="33" t="n"/>
      <c r="I382" s="33" t="n"/>
    </row>
    <row r="383">
      <c r="B383" s="33" t="n"/>
      <c r="I383" s="33" t="n"/>
    </row>
    <row r="384">
      <c r="B384" s="33" t="n"/>
      <c r="I384" s="33" t="n"/>
    </row>
    <row r="385">
      <c r="B385" s="33" t="n"/>
      <c r="I385" s="33" t="n"/>
    </row>
    <row r="386">
      <c r="B386" s="33" t="n"/>
      <c r="I386" s="33" t="n"/>
    </row>
    <row r="387">
      <c r="B387" s="33" t="n"/>
      <c r="I387" s="33" t="n"/>
    </row>
    <row r="388">
      <c r="B388" s="33" t="n"/>
      <c r="I388" s="33" t="n"/>
    </row>
    <row r="389">
      <c r="B389" s="33" t="n"/>
      <c r="I389" s="33" t="n"/>
    </row>
    <row r="390">
      <c r="B390" s="33" t="n"/>
      <c r="I390" s="33" t="n"/>
    </row>
    <row r="391">
      <c r="B391" s="33" t="n"/>
      <c r="I391" s="33" t="n"/>
    </row>
    <row r="392">
      <c r="B392" s="33" t="n"/>
      <c r="I392" s="33" t="n"/>
    </row>
    <row r="393">
      <c r="B393" s="33" t="n"/>
      <c r="I393" s="33" t="n"/>
    </row>
    <row r="394">
      <c r="B394" s="33" t="n"/>
      <c r="I394" s="33" t="n"/>
    </row>
    <row r="395">
      <c r="B395" s="33" t="n"/>
      <c r="I395" s="33" t="n"/>
    </row>
    <row r="396">
      <c r="B396" s="33" t="n"/>
      <c r="I396" s="33" t="n"/>
    </row>
    <row r="397">
      <c r="B397" s="33" t="n"/>
      <c r="I397" s="33" t="n"/>
    </row>
    <row r="398">
      <c r="B398" s="33" t="n"/>
      <c r="I398" s="33" t="n"/>
    </row>
    <row r="399">
      <c r="B399" s="33" t="n"/>
      <c r="I399" s="33" t="n"/>
    </row>
    <row r="400">
      <c r="B400" s="33" t="n"/>
      <c r="I400" s="33" t="n"/>
    </row>
    <row r="401">
      <c r="B401" s="33" t="n"/>
      <c r="I401" s="33" t="n"/>
    </row>
    <row r="402">
      <c r="B402" s="33" t="n"/>
      <c r="I402" s="33" t="n"/>
    </row>
    <row r="403">
      <c r="B403" s="33" t="n"/>
      <c r="I403" s="33" t="n"/>
    </row>
    <row r="404">
      <c r="B404" s="33" t="n"/>
      <c r="I404" s="33" t="n"/>
    </row>
    <row r="405">
      <c r="B405" s="33" t="n"/>
      <c r="I405" s="33" t="n"/>
    </row>
    <row r="406">
      <c r="B406" s="33" t="n"/>
      <c r="I406" s="33" t="n"/>
    </row>
    <row r="407">
      <c r="B407" s="33" t="n"/>
      <c r="I407" s="33" t="n"/>
    </row>
    <row r="408">
      <c r="B408" s="33" t="n"/>
      <c r="I408" s="33" t="n"/>
    </row>
    <row r="409">
      <c r="B409" s="33" t="n"/>
      <c r="I409" s="33" t="n"/>
    </row>
    <row r="410">
      <c r="B410" s="33" t="n"/>
      <c r="I410" s="33" t="n"/>
    </row>
    <row r="411">
      <c r="B411" s="33" t="n"/>
      <c r="I411" s="33" t="n"/>
    </row>
    <row r="412">
      <c r="B412" s="33" t="n"/>
      <c r="I412" s="33" t="n"/>
    </row>
    <row r="413">
      <c r="B413" s="33" t="n"/>
      <c r="I413" s="33" t="n"/>
    </row>
    <row r="414">
      <c r="B414" s="33" t="n"/>
      <c r="I414" s="33" t="n"/>
    </row>
    <row r="415">
      <c r="B415" s="33" t="n"/>
      <c r="I415" s="33" t="n"/>
    </row>
    <row r="416">
      <c r="B416" s="33" t="n"/>
      <c r="I416" s="33" t="n"/>
    </row>
    <row r="417">
      <c r="B417" s="33" t="n"/>
      <c r="I417" s="33" t="n"/>
    </row>
    <row r="418">
      <c r="B418" s="33" t="n"/>
      <c r="I418" s="33" t="n"/>
    </row>
    <row r="419">
      <c r="B419" s="33" t="n"/>
      <c r="I419" s="33" t="n"/>
    </row>
    <row r="420">
      <c r="B420" s="33" t="n"/>
      <c r="I420" s="33" t="n"/>
    </row>
    <row r="421">
      <c r="B421" s="33" t="n"/>
      <c r="I421" s="33" t="n"/>
    </row>
    <row r="422">
      <c r="B422" s="33" t="n"/>
      <c r="I422" s="33" t="n"/>
    </row>
    <row r="423">
      <c r="B423" s="33" t="n"/>
      <c r="I423" s="33" t="n"/>
    </row>
    <row r="424">
      <c r="B424" s="33" t="n"/>
      <c r="I424" s="33" t="n"/>
    </row>
    <row r="425">
      <c r="B425" s="33" t="n"/>
      <c r="I425" s="33" t="n"/>
    </row>
    <row r="426">
      <c r="B426" s="33" t="n"/>
      <c r="I426" s="33" t="n"/>
    </row>
    <row r="427">
      <c r="B427" s="33" t="n"/>
      <c r="I427" s="33" t="n"/>
    </row>
    <row r="428">
      <c r="B428" s="33" t="n"/>
      <c r="I428" s="33" t="n"/>
    </row>
    <row r="429">
      <c r="B429" s="33" t="n"/>
      <c r="I429" s="33" t="n"/>
    </row>
    <row r="430">
      <c r="B430" s="33" t="n"/>
      <c r="I430" s="33" t="n"/>
    </row>
    <row r="431">
      <c r="B431" s="33" t="n"/>
      <c r="I431" s="33" t="n"/>
    </row>
    <row r="432">
      <c r="B432" s="33" t="n"/>
      <c r="I432" s="33" t="n"/>
    </row>
    <row r="433">
      <c r="B433" s="33" t="n"/>
      <c r="I433" s="33" t="n"/>
    </row>
    <row r="434">
      <c r="B434" s="33" t="n"/>
      <c r="I434" s="33" t="n"/>
    </row>
    <row r="435">
      <c r="B435" s="33" t="n"/>
      <c r="I435" s="33" t="n"/>
    </row>
    <row r="436">
      <c r="B436" s="33" t="n"/>
      <c r="I436" s="33" t="n"/>
    </row>
    <row r="437">
      <c r="B437" s="33" t="n"/>
      <c r="I437" s="33" t="n"/>
    </row>
    <row r="438">
      <c r="B438" s="33" t="n"/>
      <c r="I438" s="33" t="n"/>
    </row>
    <row r="439">
      <c r="B439" s="33" t="n"/>
      <c r="I439" s="33" t="n"/>
    </row>
    <row r="440">
      <c r="B440" s="33" t="n"/>
      <c r="I440" s="33" t="n"/>
    </row>
    <row r="441">
      <c r="B441" s="33" t="n"/>
      <c r="I441" s="33" t="n"/>
    </row>
    <row r="442">
      <c r="B442" s="33" t="n"/>
      <c r="I442" s="33" t="n"/>
    </row>
    <row r="443">
      <c r="B443" s="33" t="n"/>
      <c r="I443" s="33" t="n"/>
    </row>
    <row r="444">
      <c r="B444" s="33" t="n"/>
      <c r="I444" s="33" t="n"/>
    </row>
    <row r="445">
      <c r="B445" s="33" t="n"/>
      <c r="I445" s="33" t="n"/>
    </row>
    <row r="446">
      <c r="B446" s="33" t="n"/>
      <c r="I446" s="33" t="n"/>
    </row>
    <row r="447">
      <c r="B447" s="33" t="n"/>
      <c r="I447" s="33" t="n"/>
    </row>
    <row r="448">
      <c r="B448" s="33" t="n"/>
      <c r="I448" s="33" t="n"/>
    </row>
    <row r="449">
      <c r="B449" s="33" t="n"/>
      <c r="I449" s="33" t="n"/>
    </row>
    <row r="450">
      <c r="B450" s="33" t="n"/>
      <c r="I450" s="33" t="n"/>
    </row>
    <row r="451">
      <c r="B451" s="33" t="n"/>
      <c r="I451" s="33" t="n"/>
    </row>
    <row r="452">
      <c r="B452" s="33" t="n"/>
      <c r="I452" s="33" t="n"/>
    </row>
    <row r="453">
      <c r="B453" s="33" t="n"/>
      <c r="I453" s="33" t="n"/>
    </row>
    <row r="454">
      <c r="B454" s="33" t="n"/>
      <c r="I454" s="33" t="n"/>
    </row>
    <row r="455">
      <c r="B455" s="33" t="n"/>
      <c r="I455" s="33" t="n"/>
    </row>
    <row r="456">
      <c r="B456" s="33" t="n"/>
      <c r="I456" s="33" t="n"/>
    </row>
    <row r="457">
      <c r="B457" s="33" t="n"/>
      <c r="I457" s="33" t="n"/>
    </row>
    <row r="458">
      <c r="B458" s="33" t="n"/>
      <c r="I458" s="33" t="n"/>
    </row>
    <row r="459">
      <c r="B459" s="33" t="n"/>
      <c r="I459" s="33" t="n"/>
    </row>
    <row r="460">
      <c r="B460" s="33" t="n"/>
      <c r="I460" s="33" t="n"/>
    </row>
    <row r="461">
      <c r="B461" s="33" t="n"/>
      <c r="I461" s="33" t="n"/>
    </row>
    <row r="462">
      <c r="B462" s="33" t="n"/>
      <c r="I462" s="33" t="n"/>
    </row>
    <row r="463">
      <c r="B463" s="33" t="n"/>
      <c r="I463" s="33" t="n"/>
    </row>
    <row r="464">
      <c r="B464" s="33" t="n"/>
      <c r="I464" s="33" t="n"/>
    </row>
    <row r="465">
      <c r="B465" s="33" t="n"/>
      <c r="I465" s="33" t="n"/>
    </row>
    <row r="466">
      <c r="B466" s="33" t="n"/>
      <c r="I466" s="33" t="n"/>
    </row>
    <row r="467">
      <c r="B467" s="33" t="n"/>
      <c r="I467" s="33" t="n"/>
    </row>
    <row r="468">
      <c r="B468" s="33" t="n"/>
      <c r="I468" s="33" t="n"/>
    </row>
    <row r="469">
      <c r="B469" s="33" t="n"/>
      <c r="I469" s="33" t="n"/>
    </row>
    <row r="470">
      <c r="B470" s="33" t="n"/>
      <c r="I470" s="33" t="n"/>
    </row>
    <row r="471">
      <c r="B471" s="33" t="n"/>
      <c r="I471" s="33" t="n"/>
    </row>
    <row r="472">
      <c r="B472" s="33" t="n"/>
      <c r="I472" s="33" t="n"/>
    </row>
    <row r="473">
      <c r="B473" s="33" t="n"/>
      <c r="I473" s="33" t="n"/>
    </row>
    <row r="474">
      <c r="B474" s="33" t="n"/>
      <c r="I474" s="33" t="n"/>
    </row>
    <row r="475">
      <c r="B475" s="33" t="n"/>
      <c r="I475" s="33" t="n"/>
    </row>
    <row r="476">
      <c r="B476" s="33" t="n"/>
      <c r="I476" s="33" t="n"/>
    </row>
    <row r="477">
      <c r="B477" s="33" t="n"/>
      <c r="I477" s="33" t="n"/>
    </row>
    <row r="478">
      <c r="B478" s="33" t="n"/>
      <c r="I478" s="33" t="n"/>
    </row>
    <row r="479">
      <c r="B479" s="33" t="n"/>
      <c r="I479" s="33" t="n"/>
    </row>
    <row r="480">
      <c r="B480" s="33" t="n"/>
      <c r="I480" s="33" t="n"/>
    </row>
    <row r="481">
      <c r="B481" s="33" t="n"/>
      <c r="I481" s="33" t="n"/>
    </row>
    <row r="482">
      <c r="B482" s="33" t="n"/>
      <c r="I482" s="33" t="n"/>
    </row>
    <row r="483">
      <c r="B483" s="33" t="n"/>
      <c r="I483" s="33" t="n"/>
    </row>
    <row r="484">
      <c r="B484" s="33" t="n"/>
      <c r="I484" s="33" t="n"/>
    </row>
    <row r="485">
      <c r="B485" s="33" t="n"/>
      <c r="I485" s="33" t="n"/>
    </row>
    <row r="486">
      <c r="B486" s="33" t="n"/>
      <c r="I486" s="33" t="n"/>
    </row>
    <row r="487">
      <c r="B487" s="33" t="n"/>
      <c r="I487" s="33" t="n"/>
    </row>
    <row r="488">
      <c r="B488" s="33" t="n"/>
      <c r="I488" s="33" t="n"/>
    </row>
    <row r="489">
      <c r="B489" s="33" t="n"/>
      <c r="I489" s="33" t="n"/>
    </row>
    <row r="490">
      <c r="B490" s="33" t="n"/>
      <c r="I490" s="33" t="n"/>
    </row>
    <row r="491">
      <c r="B491" s="33" t="n"/>
      <c r="I491" s="33" t="n"/>
    </row>
    <row r="492">
      <c r="B492" s="33" t="n"/>
      <c r="I492" s="33" t="n"/>
    </row>
    <row r="493">
      <c r="B493" s="33" t="n"/>
      <c r="I493" s="33" t="n"/>
    </row>
    <row r="494">
      <c r="B494" s="33" t="n"/>
      <c r="I494" s="33" t="n"/>
    </row>
    <row r="495">
      <c r="B495" s="33" t="n"/>
      <c r="I495" s="33" t="n"/>
    </row>
    <row r="496">
      <c r="B496" s="33" t="n"/>
      <c r="I496" s="33" t="n"/>
    </row>
    <row r="497">
      <c r="B497" s="33" t="n"/>
      <c r="I497" s="33" t="n"/>
    </row>
    <row r="498">
      <c r="B498" s="33" t="n"/>
      <c r="I498" s="33" t="n"/>
    </row>
    <row r="499">
      <c r="B499" s="33" t="n"/>
      <c r="I499" s="33" t="n"/>
    </row>
    <row r="500">
      <c r="B500" s="33" t="n"/>
      <c r="I500" s="33" t="n"/>
    </row>
    <row r="501">
      <c r="B501" s="33" t="n"/>
      <c r="I501" s="33" t="n"/>
    </row>
    <row r="502">
      <c r="B502" s="33" t="n"/>
      <c r="I502" s="33" t="n"/>
    </row>
    <row r="503">
      <c r="B503" s="33" t="n"/>
      <c r="I503" s="33" t="n"/>
    </row>
    <row r="504">
      <c r="B504" s="33" t="n"/>
      <c r="I504" s="33" t="n"/>
    </row>
    <row r="505">
      <c r="B505" s="33" t="n"/>
      <c r="I505" s="33" t="n"/>
    </row>
    <row r="506">
      <c r="B506" s="33" t="n"/>
      <c r="I506" s="33" t="n"/>
    </row>
    <row r="507">
      <c r="B507" s="33" t="n"/>
      <c r="I507" s="33" t="n"/>
    </row>
    <row r="508">
      <c r="B508" s="33" t="n"/>
      <c r="I508" s="33" t="n"/>
    </row>
    <row r="509">
      <c r="B509" s="33" t="n"/>
      <c r="I509" s="33" t="n"/>
    </row>
    <row r="510">
      <c r="B510" s="33" t="n"/>
      <c r="I510" s="33" t="n"/>
    </row>
    <row r="511">
      <c r="B511" s="33" t="n"/>
      <c r="I511" s="33" t="n"/>
    </row>
    <row r="512">
      <c r="B512" s="33" t="n"/>
      <c r="I512" s="33" t="n"/>
    </row>
    <row r="513">
      <c r="B513" s="33" t="n"/>
      <c r="I513" s="33" t="n"/>
    </row>
    <row r="514">
      <c r="B514" s="33" t="n"/>
      <c r="I514" s="33" t="n"/>
    </row>
    <row r="515">
      <c r="B515" s="33" t="n"/>
      <c r="I515" s="33" t="n"/>
    </row>
    <row r="516">
      <c r="B516" s="33" t="n"/>
      <c r="I516" s="33" t="n"/>
    </row>
    <row r="517">
      <c r="B517" s="33" t="n"/>
      <c r="I517" s="33" t="n"/>
    </row>
    <row r="518">
      <c r="B518" s="33" t="n"/>
      <c r="I518" s="33" t="n"/>
    </row>
    <row r="519">
      <c r="B519" s="33" t="n"/>
      <c r="I519" s="33" t="n"/>
    </row>
    <row r="520">
      <c r="B520" s="33" t="n"/>
      <c r="I520" s="33" t="n"/>
    </row>
    <row r="521">
      <c r="B521" s="33" t="n"/>
      <c r="I521" s="33" t="n"/>
    </row>
    <row r="522">
      <c r="B522" s="33" t="n"/>
      <c r="I522" s="33" t="n"/>
    </row>
    <row r="523">
      <c r="B523" s="33" t="n"/>
      <c r="I523" s="33" t="n"/>
    </row>
    <row r="524">
      <c r="B524" s="33" t="n"/>
      <c r="I524" s="33" t="n"/>
    </row>
    <row r="525">
      <c r="B525" s="33" t="n"/>
      <c r="I525" s="33" t="n"/>
    </row>
    <row r="526">
      <c r="B526" s="33" t="n"/>
      <c r="I526" s="33" t="n"/>
    </row>
    <row r="527">
      <c r="B527" s="33" t="n"/>
      <c r="I527" s="33" t="n"/>
    </row>
    <row r="528">
      <c r="B528" s="33" t="n"/>
      <c r="I528" s="33" t="n"/>
    </row>
    <row r="529">
      <c r="B529" s="33" t="n"/>
      <c r="I529" s="33" t="n"/>
    </row>
    <row r="530">
      <c r="B530" s="33" t="n"/>
      <c r="I530" s="33" t="n"/>
    </row>
    <row r="531">
      <c r="B531" s="33" t="n"/>
      <c r="I531" s="33" t="n"/>
    </row>
    <row r="532">
      <c r="B532" s="33" t="n"/>
      <c r="I532" s="33" t="n"/>
    </row>
    <row r="533">
      <c r="B533" s="33" t="n"/>
      <c r="I533" s="33" t="n"/>
    </row>
    <row r="534">
      <c r="B534" s="33" t="n"/>
      <c r="I534" s="33" t="n"/>
    </row>
    <row r="535">
      <c r="B535" s="33" t="n"/>
      <c r="I535" s="33" t="n"/>
    </row>
    <row r="536">
      <c r="B536" s="33" t="n"/>
      <c r="I536" s="33" t="n"/>
    </row>
    <row r="537">
      <c r="B537" s="33" t="n"/>
      <c r="I537" s="33" t="n"/>
    </row>
    <row r="538">
      <c r="B538" s="33" t="n"/>
      <c r="I538" s="33" t="n"/>
    </row>
    <row r="539">
      <c r="B539" s="33" t="n"/>
      <c r="I539" s="33" t="n"/>
    </row>
    <row r="540">
      <c r="B540" s="33" t="n"/>
      <c r="I540" s="33" t="n"/>
    </row>
    <row r="541">
      <c r="B541" s="33" t="n"/>
      <c r="I541" s="33" t="n"/>
    </row>
    <row r="542">
      <c r="B542" s="33" t="n"/>
      <c r="I542" s="33" t="n"/>
    </row>
    <row r="543">
      <c r="B543" s="33" t="n"/>
      <c r="I543" s="33" t="n"/>
    </row>
    <row r="544">
      <c r="B544" s="33" t="n"/>
      <c r="I544" s="33" t="n"/>
    </row>
    <row r="545">
      <c r="B545" s="33" t="n"/>
      <c r="I545" s="33" t="n"/>
    </row>
    <row r="546">
      <c r="B546" s="33" t="n"/>
      <c r="I546" s="33" t="n"/>
    </row>
    <row r="547">
      <c r="B547" s="33" t="n"/>
      <c r="I547" s="33" t="n"/>
    </row>
    <row r="548">
      <c r="B548" s="33" t="n"/>
      <c r="I548" s="33" t="n"/>
    </row>
    <row r="549">
      <c r="B549" s="33" t="n"/>
      <c r="I549" s="33" t="n"/>
    </row>
    <row r="550">
      <c r="B550" s="33" t="n"/>
      <c r="I550" s="33" t="n"/>
    </row>
    <row r="551">
      <c r="B551" s="33" t="n"/>
      <c r="I551" s="33" t="n"/>
    </row>
    <row r="552">
      <c r="B552" s="33" t="n"/>
      <c r="I552" s="33" t="n"/>
    </row>
    <row r="553">
      <c r="B553" s="33" t="n"/>
      <c r="I553" s="33" t="n"/>
    </row>
    <row r="554">
      <c r="B554" s="33" t="n"/>
      <c r="I554" s="33" t="n"/>
    </row>
    <row r="555">
      <c r="B555" s="33" t="n"/>
      <c r="I555" s="33" t="n"/>
    </row>
    <row r="556">
      <c r="B556" s="33" t="n"/>
      <c r="I556" s="33" t="n"/>
    </row>
    <row r="557">
      <c r="B557" s="33" t="n"/>
      <c r="I557" s="33" t="n"/>
    </row>
    <row r="558">
      <c r="B558" s="33" t="n"/>
      <c r="I558" s="33" t="n"/>
    </row>
    <row r="559">
      <c r="B559" s="33" t="n"/>
      <c r="I559" s="33" t="n"/>
    </row>
    <row r="560">
      <c r="B560" s="33" t="n"/>
      <c r="I560" s="33" t="n"/>
    </row>
    <row r="561">
      <c r="B561" s="33" t="n"/>
      <c r="I561" s="33" t="n"/>
    </row>
    <row r="562">
      <c r="B562" s="33" t="n"/>
      <c r="I562" s="33" t="n"/>
    </row>
    <row r="563">
      <c r="B563" s="33" t="n"/>
      <c r="I563" s="33" t="n"/>
    </row>
    <row r="564">
      <c r="B564" s="33" t="n"/>
      <c r="I564" s="33" t="n"/>
    </row>
    <row r="565">
      <c r="B565" s="33" t="n"/>
      <c r="I565" s="33" t="n"/>
    </row>
    <row r="566">
      <c r="B566" s="33" t="n"/>
      <c r="I566" s="33" t="n"/>
    </row>
    <row r="567">
      <c r="B567" s="33" t="n"/>
      <c r="I567" s="33" t="n"/>
    </row>
    <row r="568">
      <c r="B568" s="33" t="n"/>
      <c r="I568" s="33" t="n"/>
    </row>
    <row r="569">
      <c r="B569" s="33" t="n"/>
      <c r="I569" s="33" t="n"/>
    </row>
    <row r="570">
      <c r="B570" s="33" t="n"/>
      <c r="I570" s="33" t="n"/>
    </row>
    <row r="571">
      <c r="B571" s="33" t="n"/>
      <c r="I571" s="33" t="n"/>
    </row>
    <row r="572">
      <c r="B572" s="33" t="n"/>
      <c r="I572" s="33" t="n"/>
    </row>
    <row r="573">
      <c r="B573" s="33" t="n"/>
      <c r="I573" s="33" t="n"/>
    </row>
    <row r="574">
      <c r="B574" s="33" t="n"/>
      <c r="I574" s="33" t="n"/>
    </row>
    <row r="575">
      <c r="B575" s="33" t="n"/>
      <c r="I575" s="33" t="n"/>
    </row>
    <row r="576">
      <c r="B576" s="33" t="n"/>
      <c r="I576" s="33" t="n"/>
    </row>
    <row r="577">
      <c r="B577" s="33" t="n"/>
      <c r="I577" s="33" t="n"/>
    </row>
    <row r="578">
      <c r="B578" s="33" t="n"/>
      <c r="I578" s="33" t="n"/>
    </row>
    <row r="579">
      <c r="B579" s="33" t="n"/>
      <c r="I579" s="33" t="n"/>
    </row>
    <row r="580">
      <c r="B580" s="33" t="n"/>
      <c r="I580" s="33" t="n"/>
    </row>
    <row r="581">
      <c r="B581" s="33" t="n"/>
      <c r="I581" s="33" t="n"/>
    </row>
    <row r="582">
      <c r="B582" s="33" t="n"/>
      <c r="I582" s="33" t="n"/>
    </row>
    <row r="583">
      <c r="B583" s="33" t="n"/>
      <c r="I583" s="33" t="n"/>
    </row>
    <row r="584">
      <c r="B584" s="33" t="n"/>
      <c r="I584" s="33" t="n"/>
    </row>
    <row r="585">
      <c r="B585" s="33" t="n"/>
      <c r="I585" s="33" t="n"/>
    </row>
    <row r="586">
      <c r="B586" s="33" t="n"/>
      <c r="I586" s="33" t="n"/>
    </row>
    <row r="587">
      <c r="B587" s="33" t="n"/>
      <c r="I587" s="33" t="n"/>
    </row>
    <row r="588">
      <c r="B588" s="33" t="n"/>
      <c r="I588" s="33" t="n"/>
    </row>
    <row r="589">
      <c r="B589" s="33" t="n"/>
      <c r="I589" s="33" t="n"/>
    </row>
    <row r="590">
      <c r="B590" s="33" t="n"/>
      <c r="I590" s="33" t="n"/>
    </row>
    <row r="591">
      <c r="B591" s="33" t="n"/>
      <c r="I591" s="33" t="n"/>
    </row>
    <row r="592">
      <c r="B592" s="33" t="n"/>
      <c r="I592" s="33" t="n"/>
    </row>
    <row r="593">
      <c r="B593" s="33" t="n"/>
      <c r="I593" s="33" t="n"/>
    </row>
    <row r="594">
      <c r="B594" s="33" t="n"/>
      <c r="I594" s="33" t="n"/>
    </row>
    <row r="595">
      <c r="B595" s="33" t="n"/>
      <c r="I595" s="33" t="n"/>
    </row>
    <row r="596">
      <c r="B596" s="33" t="n"/>
      <c r="I596" s="33" t="n"/>
    </row>
    <row r="597">
      <c r="B597" s="33" t="n"/>
      <c r="I597" s="33" t="n"/>
    </row>
    <row r="598">
      <c r="B598" s="33" t="n"/>
      <c r="I598" s="33" t="n"/>
    </row>
    <row r="599">
      <c r="B599" s="33" t="n"/>
      <c r="I599" s="33" t="n"/>
    </row>
    <row r="600">
      <c r="B600" s="33" t="n"/>
      <c r="I600" s="33" t="n"/>
    </row>
    <row r="601">
      <c r="B601" s="33" t="n"/>
      <c r="I601" s="33" t="n"/>
    </row>
    <row r="602">
      <c r="B602" s="33" t="n"/>
      <c r="I602" s="33" t="n"/>
    </row>
    <row r="603">
      <c r="B603" s="33" t="n"/>
      <c r="I603" s="33" t="n"/>
    </row>
    <row r="604">
      <c r="B604" s="33" t="n"/>
      <c r="I604" s="33" t="n"/>
    </row>
    <row r="605">
      <c r="B605" s="33" t="n"/>
      <c r="I605" s="33" t="n"/>
    </row>
    <row r="606">
      <c r="B606" s="33" t="n"/>
      <c r="I606" s="33" t="n"/>
    </row>
    <row r="607">
      <c r="B607" s="33" t="n"/>
      <c r="I607" s="33" t="n"/>
    </row>
    <row r="608">
      <c r="B608" s="33" t="n"/>
      <c r="I608" s="33" t="n"/>
    </row>
    <row r="609">
      <c r="B609" s="33" t="n"/>
      <c r="I609" s="33" t="n"/>
    </row>
    <row r="610">
      <c r="B610" s="33" t="n"/>
      <c r="I610" s="33" t="n"/>
    </row>
    <row r="611">
      <c r="B611" s="33" t="n"/>
      <c r="I611" s="33" t="n"/>
    </row>
    <row r="612">
      <c r="B612" s="33" t="n"/>
      <c r="I612" s="33" t="n"/>
    </row>
    <row r="613">
      <c r="B613" s="33" t="n"/>
      <c r="I613" s="33" t="n"/>
    </row>
    <row r="614">
      <c r="B614" s="33" t="n"/>
      <c r="I614" s="33" t="n"/>
    </row>
    <row r="615">
      <c r="B615" s="33" t="n"/>
      <c r="I615" s="33" t="n"/>
    </row>
    <row r="616">
      <c r="B616" s="33" t="n"/>
      <c r="I616" s="33" t="n"/>
    </row>
    <row r="617">
      <c r="B617" s="33" t="n"/>
      <c r="I617" s="33" t="n"/>
    </row>
    <row r="618">
      <c r="B618" s="33" t="n"/>
      <c r="I618" s="33" t="n"/>
    </row>
    <row r="619">
      <c r="B619" s="33" t="n"/>
      <c r="I619" s="33" t="n"/>
    </row>
    <row r="620">
      <c r="B620" s="33" t="n"/>
      <c r="I620" s="33" t="n"/>
    </row>
    <row r="621">
      <c r="B621" s="33" t="n"/>
      <c r="I621" s="33" t="n"/>
    </row>
    <row r="622">
      <c r="B622" s="33" t="n"/>
      <c r="I622" s="33" t="n"/>
    </row>
    <row r="623">
      <c r="B623" s="33" t="n"/>
      <c r="I623" s="33" t="n"/>
    </row>
    <row r="624">
      <c r="B624" s="33" t="n"/>
      <c r="I624" s="33" t="n"/>
    </row>
    <row r="625">
      <c r="B625" s="33" t="n"/>
      <c r="I625" s="33" t="n"/>
    </row>
    <row r="626">
      <c r="B626" s="33" t="n"/>
      <c r="I626" s="33" t="n"/>
    </row>
    <row r="627">
      <c r="B627" s="33" t="n"/>
      <c r="I627" s="33" t="n"/>
    </row>
    <row r="628">
      <c r="B628" s="33" t="n"/>
      <c r="I628" s="33" t="n"/>
    </row>
    <row r="629">
      <c r="B629" s="33" t="n"/>
      <c r="I629" s="33" t="n"/>
    </row>
    <row r="630">
      <c r="B630" s="33" t="n"/>
      <c r="I630" s="33" t="n"/>
    </row>
    <row r="631">
      <c r="B631" s="33" t="n"/>
      <c r="I631" s="33" t="n"/>
    </row>
    <row r="632">
      <c r="B632" s="33" t="n"/>
      <c r="I632" s="33" t="n"/>
    </row>
    <row r="633">
      <c r="B633" s="33" t="n"/>
      <c r="I633" s="33" t="n"/>
    </row>
    <row r="634">
      <c r="B634" s="33" t="n"/>
      <c r="I634" s="33" t="n"/>
    </row>
    <row r="635">
      <c r="B635" s="33" t="n"/>
      <c r="I635" s="33" t="n"/>
    </row>
    <row r="636">
      <c r="B636" s="33" t="n"/>
      <c r="I636" s="33" t="n"/>
    </row>
    <row r="637">
      <c r="B637" s="33" t="n"/>
      <c r="I637" s="33" t="n"/>
    </row>
    <row r="638">
      <c r="B638" s="33" t="n"/>
      <c r="I638" s="33" t="n"/>
    </row>
    <row r="639">
      <c r="B639" s="33" t="n"/>
      <c r="I639" s="33" t="n"/>
    </row>
    <row r="640">
      <c r="B640" s="33" t="n"/>
      <c r="I640" s="33" t="n"/>
    </row>
    <row r="641">
      <c r="B641" s="33" t="n"/>
      <c r="I641" s="33" t="n"/>
    </row>
    <row r="642">
      <c r="B642" s="33" t="n"/>
      <c r="I642" s="33" t="n"/>
    </row>
    <row r="643">
      <c r="B643" s="33" t="n"/>
      <c r="I643" s="33" t="n"/>
    </row>
    <row r="644">
      <c r="B644" s="33" t="n"/>
      <c r="I644" s="33" t="n"/>
    </row>
    <row r="645">
      <c r="B645" s="33" t="n"/>
      <c r="I645" s="33" t="n"/>
    </row>
    <row r="646">
      <c r="B646" s="33" t="n"/>
      <c r="I646" s="33" t="n"/>
    </row>
    <row r="647">
      <c r="B647" s="33" t="n"/>
      <c r="I647" s="33" t="n"/>
    </row>
    <row r="648">
      <c r="B648" s="33" t="n"/>
      <c r="I648" s="33" t="n"/>
    </row>
    <row r="649">
      <c r="B649" s="33" t="n"/>
      <c r="I649" s="33" t="n"/>
    </row>
    <row r="650">
      <c r="B650" s="33" t="n"/>
      <c r="I650" s="33" t="n"/>
    </row>
    <row r="651">
      <c r="B651" s="33" t="n"/>
      <c r="I651" s="33" t="n"/>
    </row>
    <row r="652">
      <c r="B652" s="33" t="n"/>
      <c r="I652" s="33" t="n"/>
    </row>
    <row r="653">
      <c r="B653" s="33" t="n"/>
      <c r="I653" s="33" t="n"/>
    </row>
    <row r="654">
      <c r="B654" s="33" t="n"/>
      <c r="I654" s="33" t="n"/>
    </row>
    <row r="655">
      <c r="B655" s="33" t="n"/>
      <c r="I655" s="33" t="n"/>
    </row>
    <row r="656">
      <c r="B656" s="33" t="n"/>
      <c r="I656" s="33" t="n"/>
    </row>
    <row r="657">
      <c r="B657" s="33" t="n"/>
      <c r="I657" s="33" t="n"/>
    </row>
    <row r="658">
      <c r="B658" s="33" t="n"/>
      <c r="I658" s="33" t="n"/>
    </row>
    <row r="659">
      <c r="B659" s="33" t="n"/>
      <c r="I659" s="33" t="n"/>
    </row>
    <row r="660">
      <c r="B660" s="33" t="n"/>
      <c r="I660" s="33" t="n"/>
    </row>
    <row r="661">
      <c r="B661" s="33" t="n"/>
      <c r="I661" s="33" t="n"/>
    </row>
    <row r="662">
      <c r="B662" s="33" t="n"/>
      <c r="I662" s="33" t="n"/>
    </row>
    <row r="663">
      <c r="B663" s="33" t="n"/>
      <c r="I663" s="33" t="n"/>
    </row>
    <row r="664">
      <c r="B664" s="33" t="n"/>
      <c r="I664" s="33" t="n"/>
    </row>
    <row r="665">
      <c r="B665" s="33" t="n"/>
      <c r="I665" s="33" t="n"/>
    </row>
    <row r="666">
      <c r="B666" s="33" t="n"/>
      <c r="I666" s="33" t="n"/>
    </row>
    <row r="667">
      <c r="B667" s="33" t="n"/>
      <c r="I667" s="33" t="n"/>
    </row>
    <row r="668">
      <c r="B668" s="33" t="n"/>
      <c r="I668" s="33" t="n"/>
    </row>
    <row r="669">
      <c r="B669" s="33" t="n"/>
      <c r="I669" s="33" t="n"/>
    </row>
    <row r="670">
      <c r="B670" s="33" t="n"/>
      <c r="I670" s="33" t="n"/>
    </row>
    <row r="671">
      <c r="B671" s="33" t="n"/>
      <c r="I671" s="33" t="n"/>
    </row>
    <row r="672">
      <c r="B672" s="33" t="n"/>
      <c r="I672" s="33" t="n"/>
    </row>
    <row r="673">
      <c r="B673" s="33" t="n"/>
      <c r="I673" s="33" t="n"/>
    </row>
    <row r="674">
      <c r="B674" s="33" t="n"/>
      <c r="I674" s="33" t="n"/>
    </row>
    <row r="675">
      <c r="B675" s="33" t="n"/>
      <c r="I675" s="33" t="n"/>
    </row>
    <row r="676">
      <c r="B676" s="33" t="n"/>
      <c r="I676" s="33" t="n"/>
    </row>
    <row r="677">
      <c r="B677" s="33" t="n"/>
      <c r="I677" s="33" t="n"/>
    </row>
    <row r="678">
      <c r="B678" s="33" t="n"/>
      <c r="I678" s="33" t="n"/>
    </row>
    <row r="679">
      <c r="B679" s="33" t="n"/>
      <c r="I679" s="33" t="n"/>
    </row>
    <row r="680">
      <c r="B680" s="33" t="n"/>
      <c r="I680" s="33" t="n"/>
    </row>
    <row r="681">
      <c r="B681" s="33" t="n"/>
      <c r="I681" s="33" t="n"/>
    </row>
    <row r="682">
      <c r="B682" s="33" t="n"/>
      <c r="I682" s="33" t="n"/>
    </row>
    <row r="683">
      <c r="B683" s="33" t="n"/>
      <c r="I683" s="33" t="n"/>
    </row>
    <row r="684">
      <c r="B684" s="33" t="n"/>
      <c r="I684" s="33" t="n"/>
    </row>
    <row r="685">
      <c r="B685" s="33" t="n"/>
      <c r="I685" s="33" t="n"/>
    </row>
    <row r="686">
      <c r="B686" s="33" t="n"/>
      <c r="I686" s="33" t="n"/>
    </row>
    <row r="687">
      <c r="B687" s="33" t="n"/>
      <c r="I687" s="33" t="n"/>
    </row>
    <row r="688">
      <c r="B688" s="33" t="n"/>
      <c r="I688" s="33" t="n"/>
    </row>
    <row r="689">
      <c r="B689" s="33" t="n"/>
      <c r="I689" s="33" t="n"/>
    </row>
    <row r="690">
      <c r="B690" s="33" t="n"/>
      <c r="I690" s="33" t="n"/>
    </row>
    <row r="691">
      <c r="B691" s="33" t="n"/>
      <c r="I691" s="33" t="n"/>
    </row>
    <row r="692">
      <c r="B692" s="33" t="n"/>
      <c r="I692" s="33" t="n"/>
    </row>
    <row r="693">
      <c r="B693" s="33" t="n"/>
      <c r="I693" s="33" t="n"/>
    </row>
    <row r="694">
      <c r="B694" s="33" t="n"/>
      <c r="I694" s="33" t="n"/>
    </row>
    <row r="695">
      <c r="B695" s="33" t="n"/>
      <c r="I695" s="33" t="n"/>
    </row>
    <row r="696">
      <c r="B696" s="33" t="n"/>
      <c r="I696" s="33" t="n"/>
    </row>
    <row r="697">
      <c r="B697" s="33" t="n"/>
      <c r="I697" s="33" t="n"/>
    </row>
    <row r="698">
      <c r="B698" s="33" t="n"/>
      <c r="I698" s="33" t="n"/>
    </row>
    <row r="699">
      <c r="B699" s="33" t="n"/>
      <c r="I699" s="33" t="n"/>
    </row>
    <row r="700">
      <c r="B700" s="33" t="n"/>
      <c r="I700" s="33" t="n"/>
    </row>
    <row r="701">
      <c r="B701" s="33" t="n"/>
      <c r="I701" s="33" t="n"/>
    </row>
    <row r="702">
      <c r="B702" s="33" t="n"/>
      <c r="I702" s="33" t="n"/>
    </row>
    <row r="703">
      <c r="B703" s="33" t="n"/>
      <c r="I703" s="33" t="n"/>
    </row>
    <row r="704">
      <c r="B704" s="33" t="n"/>
      <c r="I704" s="33" t="n"/>
    </row>
    <row r="705">
      <c r="B705" s="33" t="n"/>
      <c r="I705" s="33" t="n"/>
    </row>
    <row r="706">
      <c r="B706" s="33" t="n"/>
      <c r="I706" s="33" t="n"/>
    </row>
    <row r="707">
      <c r="B707" s="33" t="n"/>
      <c r="I707" s="33" t="n"/>
    </row>
    <row r="708">
      <c r="B708" s="33" t="n"/>
      <c r="I708" s="33" t="n"/>
    </row>
    <row r="709">
      <c r="B709" s="33" t="n"/>
      <c r="I709" s="33" t="n"/>
    </row>
    <row r="710">
      <c r="B710" s="33" t="n"/>
      <c r="I710" s="33" t="n"/>
    </row>
    <row r="711">
      <c r="B711" s="33" t="n"/>
      <c r="I711" s="33" t="n"/>
    </row>
    <row r="712">
      <c r="B712" s="33" t="n"/>
      <c r="I712" s="33" t="n"/>
    </row>
    <row r="713">
      <c r="B713" s="33" t="n"/>
      <c r="I713" s="33" t="n"/>
    </row>
    <row r="714">
      <c r="B714" s="33" t="n"/>
      <c r="I714" s="33" t="n"/>
    </row>
    <row r="715">
      <c r="B715" s="33" t="n"/>
      <c r="I715" s="33" t="n"/>
    </row>
    <row r="716">
      <c r="B716" s="33" t="n"/>
      <c r="I716" s="33" t="n"/>
    </row>
    <row r="717">
      <c r="B717" s="33" t="n"/>
      <c r="I717" s="33" t="n"/>
    </row>
    <row r="718">
      <c r="B718" s="33" t="n"/>
      <c r="I718" s="33" t="n"/>
    </row>
    <row r="719">
      <c r="B719" s="33" t="n"/>
      <c r="I719" s="33" t="n"/>
    </row>
    <row r="720">
      <c r="B720" s="33" t="n"/>
      <c r="I720" s="33" t="n"/>
    </row>
    <row r="721">
      <c r="B721" s="33" t="n"/>
      <c r="I721" s="33" t="n"/>
    </row>
    <row r="722">
      <c r="B722" s="33" t="n"/>
      <c r="I722" s="33" t="n"/>
    </row>
    <row r="723">
      <c r="B723" s="33" t="n"/>
      <c r="I723" s="33" t="n"/>
    </row>
    <row r="724">
      <c r="B724" s="33" t="n"/>
      <c r="I724" s="33" t="n"/>
    </row>
    <row r="725">
      <c r="B725" s="33" t="n"/>
      <c r="I725" s="33" t="n"/>
    </row>
    <row r="726">
      <c r="B726" s="33" t="n"/>
      <c r="I726" s="33" t="n"/>
    </row>
    <row r="727">
      <c r="B727" s="33" t="n"/>
      <c r="I727" s="33" t="n"/>
    </row>
    <row r="728">
      <c r="B728" s="33" t="n"/>
      <c r="I728" s="33" t="n"/>
    </row>
    <row r="729">
      <c r="B729" s="33" t="n"/>
      <c r="I729" s="33" t="n"/>
    </row>
    <row r="730">
      <c r="B730" s="33" t="n"/>
      <c r="I730" s="33" t="n"/>
    </row>
    <row r="731">
      <c r="B731" s="33" t="n"/>
      <c r="I731" s="33" t="n"/>
    </row>
    <row r="732">
      <c r="B732" s="33" t="n"/>
      <c r="I732" s="33" t="n"/>
    </row>
    <row r="733">
      <c r="B733" s="33" t="n"/>
      <c r="I733" s="33" t="n"/>
    </row>
    <row r="734">
      <c r="B734" s="33" t="n"/>
      <c r="I734" s="33" t="n"/>
    </row>
    <row r="735">
      <c r="B735" s="33" t="n"/>
      <c r="I735" s="33" t="n"/>
    </row>
    <row r="736">
      <c r="B736" s="33" t="n"/>
      <c r="I736" s="33" t="n"/>
    </row>
    <row r="737">
      <c r="B737" s="33" t="n"/>
      <c r="I737" s="33" t="n"/>
    </row>
    <row r="738">
      <c r="B738" s="33" t="n"/>
      <c r="I738" s="33" t="n"/>
    </row>
    <row r="739">
      <c r="B739" s="33" t="n"/>
      <c r="I739" s="33" t="n"/>
    </row>
    <row r="740">
      <c r="B740" s="33" t="n"/>
      <c r="I740" s="33" t="n"/>
    </row>
    <row r="741">
      <c r="B741" s="33" t="n"/>
      <c r="I741" s="33" t="n"/>
    </row>
    <row r="742">
      <c r="B742" s="33" t="n"/>
      <c r="I742" s="33" t="n"/>
    </row>
    <row r="743">
      <c r="B743" s="33" t="n"/>
      <c r="I743" s="33" t="n"/>
    </row>
    <row r="744">
      <c r="B744" s="33" t="n"/>
      <c r="I744" s="33" t="n"/>
    </row>
    <row r="745">
      <c r="B745" s="33" t="n"/>
      <c r="I745" s="33" t="n"/>
    </row>
    <row r="746">
      <c r="B746" s="33" t="n"/>
      <c r="I746" s="33" t="n"/>
    </row>
    <row r="747">
      <c r="B747" s="33" t="n"/>
      <c r="I747" s="33" t="n"/>
    </row>
    <row r="748">
      <c r="B748" s="33" t="n"/>
      <c r="I748" s="33" t="n"/>
    </row>
    <row r="749">
      <c r="B749" s="33" t="n"/>
      <c r="I749" s="33" t="n"/>
    </row>
    <row r="750">
      <c r="B750" s="33" t="n"/>
      <c r="I750" s="33" t="n"/>
    </row>
    <row r="751">
      <c r="B751" s="33" t="n"/>
      <c r="I751" s="33" t="n"/>
    </row>
    <row r="752">
      <c r="B752" s="33" t="n"/>
      <c r="I752" s="33" t="n"/>
    </row>
    <row r="753">
      <c r="B753" s="33" t="n"/>
      <c r="I753" s="33" t="n"/>
    </row>
    <row r="754">
      <c r="B754" s="33" t="n"/>
      <c r="I754" s="33" t="n"/>
    </row>
    <row r="755">
      <c r="B755" s="33" t="n"/>
      <c r="I755" s="33" t="n"/>
    </row>
    <row r="756">
      <c r="B756" s="33" t="n"/>
      <c r="I756" s="33" t="n"/>
    </row>
    <row r="757">
      <c r="B757" s="33" t="n"/>
      <c r="I757" s="33" t="n"/>
    </row>
    <row r="758">
      <c r="B758" s="33" t="n"/>
      <c r="I758" s="33" t="n"/>
    </row>
    <row r="759">
      <c r="B759" s="33" t="n"/>
      <c r="I759" s="33" t="n"/>
    </row>
    <row r="760">
      <c r="B760" s="33" t="n"/>
      <c r="I760" s="33" t="n"/>
    </row>
    <row r="761">
      <c r="B761" s="33" t="n"/>
      <c r="I761" s="33" t="n"/>
    </row>
    <row r="762">
      <c r="B762" s="33" t="n"/>
      <c r="I762" s="33" t="n"/>
    </row>
    <row r="763">
      <c r="B763" s="33" t="n"/>
      <c r="I763" s="33" t="n"/>
    </row>
    <row r="764">
      <c r="B764" s="33" t="n"/>
      <c r="I764" s="33" t="n"/>
    </row>
    <row r="765">
      <c r="B765" s="33" t="n"/>
      <c r="I765" s="33" t="n"/>
    </row>
    <row r="766">
      <c r="B766" s="33" t="n"/>
      <c r="I766" s="33" t="n"/>
    </row>
    <row r="767">
      <c r="B767" s="33" t="n"/>
      <c r="I767" s="33" t="n"/>
    </row>
    <row r="768">
      <c r="B768" s="33" t="n"/>
      <c r="I768" s="33" t="n"/>
    </row>
    <row r="769">
      <c r="B769" s="33" t="n"/>
      <c r="I769" s="33" t="n"/>
    </row>
    <row r="770">
      <c r="B770" s="33" t="n"/>
      <c r="I770" s="33" t="n"/>
    </row>
    <row r="771">
      <c r="B771" s="33" t="n"/>
      <c r="I771" s="33" t="n"/>
    </row>
    <row r="772">
      <c r="B772" s="33" t="n"/>
      <c r="I772" s="33" t="n"/>
    </row>
    <row r="773">
      <c r="B773" s="33" t="n"/>
      <c r="I773" s="33" t="n"/>
    </row>
    <row r="774">
      <c r="B774" s="33" t="n"/>
      <c r="I774" s="33" t="n"/>
    </row>
    <row r="775">
      <c r="B775" s="33" t="n"/>
      <c r="I775" s="33" t="n"/>
    </row>
    <row r="776">
      <c r="B776" s="33" t="n"/>
      <c r="I776" s="33" t="n"/>
    </row>
    <row r="777">
      <c r="B777" s="33" t="n"/>
      <c r="I777" s="33" t="n"/>
    </row>
    <row r="778">
      <c r="B778" s="33" t="n"/>
      <c r="I778" s="33" t="n"/>
    </row>
    <row r="779">
      <c r="B779" s="33" t="n"/>
      <c r="I779" s="33" t="n"/>
    </row>
    <row r="780">
      <c r="B780" s="33" t="n"/>
      <c r="I780" s="33" t="n"/>
    </row>
    <row r="781">
      <c r="B781" s="33" t="n"/>
      <c r="I781" s="33" t="n"/>
    </row>
    <row r="782">
      <c r="B782" s="33" t="n"/>
      <c r="I782" s="33" t="n"/>
    </row>
    <row r="783">
      <c r="B783" s="33" t="n"/>
      <c r="I783" s="33" t="n"/>
    </row>
    <row r="784">
      <c r="B784" s="33" t="n"/>
      <c r="I784" s="33" t="n"/>
    </row>
    <row r="785">
      <c r="B785" s="33" t="n"/>
      <c r="I785" s="33" t="n"/>
    </row>
    <row r="786">
      <c r="B786" s="33" t="n"/>
      <c r="I786" s="33" t="n"/>
    </row>
    <row r="787">
      <c r="B787" s="33" t="n"/>
      <c r="I787" s="33" t="n"/>
    </row>
    <row r="788">
      <c r="B788" s="33" t="n"/>
      <c r="I788" s="33" t="n"/>
    </row>
    <row r="789">
      <c r="B789" s="33" t="n"/>
      <c r="I789" s="33" t="n"/>
    </row>
    <row r="790">
      <c r="B790" s="33" t="n"/>
      <c r="I790" s="33" t="n"/>
    </row>
    <row r="791">
      <c r="B791" s="33" t="n"/>
      <c r="I791" s="33" t="n"/>
    </row>
    <row r="792">
      <c r="B792" s="33" t="n"/>
      <c r="I792" s="33" t="n"/>
    </row>
    <row r="793">
      <c r="B793" s="33" t="n"/>
      <c r="I793" s="33" t="n"/>
    </row>
    <row r="794">
      <c r="B794" s="33" t="n"/>
      <c r="I794" s="33" t="n"/>
    </row>
    <row r="795">
      <c r="B795" s="33" t="n"/>
      <c r="I795" s="33" t="n"/>
    </row>
    <row r="796">
      <c r="B796" s="33" t="n"/>
      <c r="I796" s="33" t="n"/>
    </row>
    <row r="797">
      <c r="B797" s="33" t="n"/>
      <c r="I797" s="33" t="n"/>
    </row>
    <row r="798">
      <c r="B798" s="33" t="n"/>
      <c r="I798" s="33" t="n"/>
    </row>
    <row r="799">
      <c r="B799" s="33" t="n"/>
      <c r="I799" s="33" t="n"/>
    </row>
    <row r="800">
      <c r="B800" s="33" t="n"/>
      <c r="I800" s="33" t="n"/>
    </row>
    <row r="801">
      <c r="B801" s="33" t="n"/>
      <c r="I801" s="33" t="n"/>
    </row>
    <row r="802">
      <c r="B802" s="33" t="n"/>
      <c r="I802" s="33" t="n"/>
    </row>
    <row r="803">
      <c r="B803" s="33" t="n"/>
      <c r="I803" s="33" t="n"/>
    </row>
    <row r="804">
      <c r="B804" s="33" t="n"/>
      <c r="I804" s="33" t="n"/>
    </row>
    <row r="805">
      <c r="B805" s="33" t="n"/>
      <c r="I805" s="33" t="n"/>
    </row>
    <row r="806">
      <c r="B806" s="33" t="n"/>
      <c r="I806" s="33" t="n"/>
    </row>
    <row r="807">
      <c r="B807" s="33" t="n"/>
      <c r="I807" s="33" t="n"/>
    </row>
    <row r="808">
      <c r="B808" s="33" t="n"/>
      <c r="I808" s="33" t="n"/>
    </row>
    <row r="809">
      <c r="B809" s="33" t="n"/>
      <c r="I809" s="33" t="n"/>
    </row>
    <row r="810">
      <c r="B810" s="33" t="n"/>
      <c r="I810" s="33" t="n"/>
    </row>
    <row r="811">
      <c r="B811" s="33" t="n"/>
      <c r="I811" s="33" t="n"/>
    </row>
    <row r="812">
      <c r="B812" s="33" t="n"/>
      <c r="I812" s="33" t="n"/>
    </row>
    <row r="813">
      <c r="B813" s="33" t="n"/>
      <c r="I813" s="33" t="n"/>
    </row>
    <row r="814">
      <c r="B814" s="33" t="n"/>
      <c r="I814" s="33" t="n"/>
    </row>
    <row r="815">
      <c r="B815" s="33" t="n"/>
      <c r="I815" s="33" t="n"/>
    </row>
    <row r="816">
      <c r="B816" s="33" t="n"/>
      <c r="I816" s="33" t="n"/>
    </row>
    <row r="817">
      <c r="B817" s="33" t="n"/>
      <c r="I817" s="33" t="n"/>
    </row>
    <row r="818">
      <c r="B818" s="33" t="n"/>
      <c r="I818" s="33" t="n"/>
    </row>
    <row r="819">
      <c r="B819" s="33" t="n"/>
      <c r="I819" s="33" t="n"/>
    </row>
    <row r="820">
      <c r="B820" s="33" t="n"/>
      <c r="I820" s="33" t="n"/>
    </row>
    <row r="821">
      <c r="B821" s="33" t="n"/>
      <c r="I821" s="33" t="n"/>
    </row>
    <row r="822">
      <c r="B822" s="33" t="n"/>
      <c r="I822" s="33" t="n"/>
    </row>
    <row r="823">
      <c r="B823" s="33" t="n"/>
      <c r="I823" s="33" t="n"/>
    </row>
    <row r="824">
      <c r="B824" s="33" t="n"/>
      <c r="I824" s="33" t="n"/>
    </row>
    <row r="825">
      <c r="B825" s="33" t="n"/>
      <c r="I825" s="33" t="n"/>
    </row>
    <row r="826">
      <c r="B826" s="33" t="n"/>
      <c r="I826" s="33" t="n"/>
    </row>
    <row r="827">
      <c r="B827" s="33" t="n"/>
      <c r="I827" s="33" t="n"/>
    </row>
    <row r="828">
      <c r="B828" s="33" t="n"/>
      <c r="I828" s="33" t="n"/>
    </row>
    <row r="829">
      <c r="B829" s="33" t="n"/>
      <c r="I829" s="33" t="n"/>
    </row>
    <row r="830">
      <c r="B830" s="33" t="n"/>
      <c r="I830" s="33" t="n"/>
    </row>
    <row r="831">
      <c r="B831" s="33" t="n"/>
      <c r="I831" s="33" t="n"/>
    </row>
    <row r="832">
      <c r="B832" s="33" t="n"/>
      <c r="I832" s="33" t="n"/>
    </row>
    <row r="833">
      <c r="B833" s="33" t="n"/>
      <c r="I833" s="33" t="n"/>
    </row>
    <row r="834">
      <c r="B834" s="33" t="n"/>
      <c r="I834" s="33" t="n"/>
    </row>
    <row r="835">
      <c r="B835" s="33" t="n"/>
      <c r="I835" s="33" t="n"/>
    </row>
    <row r="836">
      <c r="B836" s="33" t="n"/>
      <c r="I836" s="33" t="n"/>
    </row>
    <row r="837">
      <c r="B837" s="33" t="n"/>
      <c r="I837" s="33" t="n"/>
    </row>
    <row r="838">
      <c r="B838" s="33" t="n"/>
      <c r="I838" s="33" t="n"/>
    </row>
    <row r="839">
      <c r="B839" s="33" t="n"/>
      <c r="I839" s="33" t="n"/>
    </row>
    <row r="840">
      <c r="B840" s="33" t="n"/>
      <c r="I840" s="33" t="n"/>
    </row>
    <row r="841">
      <c r="B841" s="33" t="n"/>
      <c r="I841" s="33" t="n"/>
    </row>
    <row r="842">
      <c r="B842" s="33" t="n"/>
      <c r="I842" s="33" t="n"/>
    </row>
    <row r="843">
      <c r="B843" s="33" t="n"/>
      <c r="I843" s="33" t="n"/>
    </row>
    <row r="844">
      <c r="B844" s="33" t="n"/>
      <c r="I844" s="33" t="n"/>
    </row>
    <row r="845">
      <c r="B845" s="33" t="n"/>
      <c r="I845" s="33" t="n"/>
    </row>
    <row r="846">
      <c r="B846" s="33" t="n"/>
      <c r="I846" s="33" t="n"/>
    </row>
    <row r="847">
      <c r="B847" s="33" t="n"/>
      <c r="I847" s="33" t="n"/>
    </row>
    <row r="848">
      <c r="B848" s="33" t="n"/>
      <c r="I848" s="33" t="n"/>
    </row>
    <row r="849">
      <c r="B849" s="33" t="n"/>
      <c r="I849" s="33" t="n"/>
    </row>
    <row r="850">
      <c r="B850" s="33" t="n"/>
      <c r="I850" s="33" t="n"/>
    </row>
    <row r="851">
      <c r="B851" s="33" t="n"/>
      <c r="I851" s="33" t="n"/>
    </row>
    <row r="852">
      <c r="B852" s="33" t="n"/>
      <c r="I852" s="33" t="n"/>
    </row>
    <row r="853">
      <c r="B853" s="33" t="n"/>
      <c r="I853" s="33" t="n"/>
    </row>
    <row r="854">
      <c r="B854" s="33" t="n"/>
      <c r="I854" s="33" t="n"/>
    </row>
    <row r="855">
      <c r="B855" s="33" t="n"/>
      <c r="I855" s="33" t="n"/>
    </row>
    <row r="856">
      <c r="B856" s="33" t="n"/>
      <c r="I856" s="33" t="n"/>
    </row>
    <row r="857">
      <c r="B857" s="33" t="n"/>
      <c r="I857" s="33" t="n"/>
    </row>
    <row r="858">
      <c r="B858" s="33" t="n"/>
      <c r="I858" s="33" t="n"/>
    </row>
    <row r="859">
      <c r="B859" s="33" t="n"/>
      <c r="I859" s="33" t="n"/>
    </row>
    <row r="860">
      <c r="B860" s="33" t="n"/>
      <c r="I860" s="33" t="n"/>
    </row>
    <row r="861">
      <c r="B861" s="33" t="n"/>
      <c r="I861" s="33" t="n"/>
    </row>
    <row r="862">
      <c r="B862" s="33" t="n"/>
      <c r="I862" s="33" t="n"/>
    </row>
    <row r="863">
      <c r="B863" s="33" t="n"/>
      <c r="I863" s="33" t="n"/>
    </row>
    <row r="864">
      <c r="B864" s="33" t="n"/>
      <c r="I864" s="33" t="n"/>
    </row>
    <row r="865">
      <c r="B865" s="33" t="n"/>
      <c r="I865" s="33" t="n"/>
    </row>
    <row r="866">
      <c r="B866" s="33" t="n"/>
      <c r="I866" s="33" t="n"/>
    </row>
    <row r="867">
      <c r="B867" s="33" t="n"/>
      <c r="I867" s="33" t="n"/>
    </row>
    <row r="868">
      <c r="B868" s="33" t="n"/>
      <c r="I868" s="33" t="n"/>
    </row>
    <row r="869">
      <c r="B869" s="33" t="n"/>
      <c r="I869" s="33" t="n"/>
    </row>
    <row r="870">
      <c r="B870" s="33" t="n"/>
      <c r="I870" s="33" t="n"/>
    </row>
    <row r="871">
      <c r="B871" s="33" t="n"/>
      <c r="I871" s="33" t="n"/>
    </row>
    <row r="872">
      <c r="B872" s="33" t="n"/>
      <c r="I872" s="33" t="n"/>
    </row>
    <row r="873">
      <c r="B873" s="33" t="n"/>
      <c r="I873" s="33" t="n"/>
    </row>
    <row r="874">
      <c r="B874" s="33" t="n"/>
      <c r="I874" s="33" t="n"/>
    </row>
    <row r="875">
      <c r="B875" s="33" t="n"/>
      <c r="I875" s="33" t="n"/>
    </row>
    <row r="876">
      <c r="B876" s="33" t="n"/>
      <c r="I876" s="33" t="n"/>
    </row>
    <row r="877">
      <c r="B877" s="33" t="n"/>
      <c r="I877" s="33" t="n"/>
    </row>
    <row r="878">
      <c r="B878" s="33" t="n"/>
      <c r="I878" s="33" t="n"/>
    </row>
    <row r="879">
      <c r="B879" s="33" t="n"/>
      <c r="I879" s="33" t="n"/>
    </row>
    <row r="880">
      <c r="B880" s="33" t="n"/>
      <c r="I880" s="33" t="n"/>
    </row>
    <row r="881">
      <c r="B881" s="33" t="n"/>
      <c r="I881" s="33" t="n"/>
    </row>
    <row r="882">
      <c r="B882" s="33" t="n"/>
      <c r="I882" s="33" t="n"/>
    </row>
    <row r="883">
      <c r="B883" s="33" t="n"/>
      <c r="I883" s="33" t="n"/>
    </row>
    <row r="884">
      <c r="B884" s="33" t="n"/>
      <c r="I884" s="33" t="n"/>
    </row>
    <row r="885">
      <c r="B885" s="33" t="n"/>
      <c r="I885" s="33" t="n"/>
    </row>
    <row r="886">
      <c r="B886" s="33" t="n"/>
      <c r="I886" s="33" t="n"/>
    </row>
    <row r="887">
      <c r="B887" s="33" t="n"/>
      <c r="I887" s="33" t="n"/>
    </row>
    <row r="888">
      <c r="B888" s="33" t="n"/>
      <c r="I888" s="33" t="n"/>
    </row>
    <row r="889">
      <c r="B889" s="33" t="n"/>
      <c r="I889" s="33" t="n"/>
    </row>
    <row r="890">
      <c r="B890" s="33" t="n"/>
      <c r="I890" s="33" t="n"/>
    </row>
    <row r="891">
      <c r="B891" s="33" t="n"/>
      <c r="I891" s="33" t="n"/>
    </row>
    <row r="892">
      <c r="B892" s="33" t="n"/>
      <c r="I892" s="33" t="n"/>
    </row>
    <row r="893">
      <c r="B893" s="33" t="n"/>
      <c r="I893" s="33" t="n"/>
    </row>
    <row r="894">
      <c r="B894" s="33" t="n"/>
      <c r="I894" s="33" t="n"/>
    </row>
    <row r="895">
      <c r="B895" s="33" t="n"/>
      <c r="I895" s="33" t="n"/>
    </row>
    <row r="896">
      <c r="B896" s="33" t="n"/>
      <c r="I896" s="33" t="n"/>
    </row>
    <row r="897">
      <c r="B897" s="33" t="n"/>
      <c r="I897" s="33" t="n"/>
    </row>
    <row r="898">
      <c r="B898" s="33" t="n"/>
      <c r="I898" s="33" t="n"/>
    </row>
    <row r="899">
      <c r="B899" s="33" t="n"/>
      <c r="I899" s="33" t="n"/>
    </row>
    <row r="900">
      <c r="B900" s="33" t="n"/>
      <c r="I900" s="33" t="n"/>
    </row>
    <row r="901">
      <c r="B901" s="33" t="n"/>
      <c r="I901" s="33" t="n"/>
    </row>
    <row r="902">
      <c r="B902" s="33" t="n"/>
      <c r="I902" s="33" t="n"/>
    </row>
    <row r="903">
      <c r="B903" s="33" t="n"/>
      <c r="I903" s="33" t="n"/>
    </row>
    <row r="904">
      <c r="B904" s="33" t="n"/>
      <c r="I904" s="33" t="n"/>
    </row>
    <row r="905">
      <c r="B905" s="33" t="n"/>
      <c r="I905" s="33" t="n"/>
    </row>
    <row r="906">
      <c r="B906" s="33" t="n"/>
      <c r="I906" s="33" t="n"/>
    </row>
    <row r="907">
      <c r="B907" s="33" t="n"/>
      <c r="I907" s="33" t="n"/>
    </row>
    <row r="908">
      <c r="B908" s="33" t="n"/>
      <c r="I908" s="33" t="n"/>
    </row>
    <row r="909">
      <c r="B909" s="33" t="n"/>
      <c r="I909" s="33" t="n"/>
    </row>
    <row r="910">
      <c r="B910" s="33" t="n"/>
      <c r="I910" s="33" t="n"/>
    </row>
    <row r="911">
      <c r="B911" s="33" t="n"/>
      <c r="I911" s="33" t="n"/>
    </row>
    <row r="912">
      <c r="B912" s="33" t="n"/>
      <c r="I912" s="33" t="n"/>
    </row>
    <row r="913">
      <c r="B913" s="33" t="n"/>
      <c r="I913" s="33" t="n"/>
    </row>
    <row r="914">
      <c r="B914" s="33" t="n"/>
      <c r="I914" s="33" t="n"/>
    </row>
    <row r="915">
      <c r="B915" s="33" t="n"/>
      <c r="I915" s="33" t="n"/>
    </row>
    <row r="916">
      <c r="B916" s="33" t="n"/>
      <c r="I916" s="33" t="n"/>
    </row>
    <row r="917">
      <c r="B917" s="33" t="n"/>
      <c r="I917" s="33" t="n"/>
    </row>
    <row r="918">
      <c r="B918" s="33" t="n"/>
      <c r="I918" s="33" t="n"/>
    </row>
    <row r="919">
      <c r="B919" s="33" t="n"/>
      <c r="I919" s="33" t="n"/>
    </row>
    <row r="920">
      <c r="B920" s="33" t="n"/>
      <c r="I920" s="33" t="n"/>
    </row>
    <row r="921">
      <c r="B921" s="33" t="n"/>
      <c r="I921" s="33" t="n"/>
    </row>
    <row r="922">
      <c r="B922" s="33" t="n"/>
      <c r="I922" s="33" t="n"/>
    </row>
    <row r="923">
      <c r="B923" s="33" t="n"/>
      <c r="I923" s="33" t="n"/>
    </row>
    <row r="924">
      <c r="B924" s="33" t="n"/>
      <c r="I924" s="33" t="n"/>
    </row>
    <row r="925">
      <c r="B925" s="33" t="n"/>
      <c r="I925" s="33" t="n"/>
    </row>
    <row r="926">
      <c r="B926" s="33" t="n"/>
      <c r="I926" s="33" t="n"/>
    </row>
    <row r="927">
      <c r="B927" s="33" t="n"/>
      <c r="I927" s="33" t="n"/>
    </row>
    <row r="928">
      <c r="B928" s="33" t="n"/>
      <c r="I928" s="33" t="n"/>
    </row>
    <row r="929">
      <c r="B929" s="33" t="n"/>
      <c r="I929" s="33" t="n"/>
    </row>
    <row r="930">
      <c r="B930" s="33" t="n"/>
      <c r="I930" s="33" t="n"/>
    </row>
    <row r="931">
      <c r="B931" s="33" t="n"/>
      <c r="I931" s="33" t="n"/>
    </row>
    <row r="932">
      <c r="B932" s="33" t="n"/>
      <c r="I932" s="33" t="n"/>
    </row>
    <row r="933">
      <c r="B933" s="33" t="n"/>
      <c r="I933" s="33" t="n"/>
    </row>
    <row r="934">
      <c r="B934" s="33" t="n"/>
      <c r="I934" s="33" t="n"/>
    </row>
    <row r="935">
      <c r="B935" s="33" t="n"/>
      <c r="I935" s="33" t="n"/>
    </row>
    <row r="936">
      <c r="B936" s="33" t="n"/>
      <c r="I936" s="33" t="n"/>
    </row>
    <row r="937">
      <c r="B937" s="33" t="n"/>
      <c r="I937" s="33" t="n"/>
    </row>
    <row r="938">
      <c r="B938" s="33" t="n"/>
      <c r="I938" s="33" t="n"/>
    </row>
    <row r="939">
      <c r="B939" s="33" t="n"/>
      <c r="I939" s="33" t="n"/>
    </row>
    <row r="940">
      <c r="B940" s="33" t="n"/>
      <c r="I940" s="33" t="n"/>
    </row>
    <row r="941">
      <c r="B941" s="33" t="n"/>
      <c r="I941" s="33" t="n"/>
    </row>
    <row r="942">
      <c r="B942" s="33" t="n"/>
      <c r="I942" s="33" t="n"/>
    </row>
    <row r="943">
      <c r="B943" s="33" t="n"/>
      <c r="I943" s="33" t="n"/>
    </row>
    <row r="944">
      <c r="B944" s="33" t="n"/>
      <c r="I944" s="33" t="n"/>
    </row>
    <row r="945">
      <c r="B945" s="33" t="n"/>
      <c r="I945" s="33" t="n"/>
    </row>
    <row r="946">
      <c r="B946" s="33" t="n"/>
      <c r="I946" s="33" t="n"/>
    </row>
    <row r="947">
      <c r="B947" s="33" t="n"/>
      <c r="I947" s="33" t="n"/>
    </row>
    <row r="948">
      <c r="B948" s="33" t="n"/>
      <c r="I948" s="33" t="n"/>
    </row>
    <row r="949">
      <c r="B949" s="33" t="n"/>
      <c r="I949" s="33" t="n"/>
    </row>
    <row r="950">
      <c r="B950" s="33" t="n"/>
      <c r="I950" s="33" t="n"/>
    </row>
    <row r="951">
      <c r="B951" s="33" t="n"/>
      <c r="I951" s="33" t="n"/>
    </row>
    <row r="952">
      <c r="B952" s="33" t="n"/>
      <c r="I952" s="33" t="n"/>
    </row>
    <row r="953">
      <c r="B953" s="33" t="n"/>
      <c r="I953" s="33" t="n"/>
    </row>
    <row r="954">
      <c r="B954" s="33" t="n"/>
      <c r="I954" s="33" t="n"/>
    </row>
    <row r="955">
      <c r="B955" s="33" t="n"/>
      <c r="I955" s="33" t="n"/>
    </row>
    <row r="956">
      <c r="B956" s="33" t="n"/>
      <c r="I956" s="33" t="n"/>
    </row>
    <row r="957">
      <c r="B957" s="33" t="n"/>
      <c r="I957" s="33" t="n"/>
    </row>
    <row r="958">
      <c r="B958" s="33" t="n"/>
      <c r="I958" s="33" t="n"/>
    </row>
    <row r="959">
      <c r="B959" s="33" t="n"/>
      <c r="I959" s="33" t="n"/>
    </row>
    <row r="960">
      <c r="B960" s="33" t="n"/>
      <c r="I960" s="33" t="n"/>
    </row>
    <row r="961">
      <c r="B961" s="33" t="n"/>
      <c r="I961" s="33" t="n"/>
    </row>
    <row r="962">
      <c r="B962" s="33" t="n"/>
      <c r="I962" s="33" t="n"/>
    </row>
    <row r="963">
      <c r="B963" s="33" t="n"/>
      <c r="I963" s="33" t="n"/>
    </row>
    <row r="964">
      <c r="B964" s="33" t="n"/>
      <c r="I964" s="33" t="n"/>
    </row>
    <row r="965">
      <c r="B965" s="33" t="n"/>
      <c r="I965" s="33" t="n"/>
    </row>
    <row r="966">
      <c r="B966" s="33" t="n"/>
      <c r="I966" s="33" t="n"/>
    </row>
    <row r="967">
      <c r="B967" s="33" t="n"/>
      <c r="I967" s="33" t="n"/>
    </row>
    <row r="968">
      <c r="B968" s="33" t="n"/>
      <c r="I968" s="33" t="n"/>
    </row>
    <row r="969">
      <c r="B969" s="33" t="n"/>
      <c r="I969" s="33" t="n"/>
    </row>
    <row r="970">
      <c r="B970" s="33" t="n"/>
      <c r="I970" s="33" t="n"/>
    </row>
    <row r="971">
      <c r="B971" s="33" t="n"/>
      <c r="I971" s="33" t="n"/>
    </row>
    <row r="972">
      <c r="B972" s="33" t="n"/>
      <c r="I972" s="33" t="n"/>
    </row>
    <row r="973">
      <c r="B973" s="33" t="n"/>
      <c r="I973" s="33" t="n"/>
    </row>
    <row r="974">
      <c r="B974" s="33" t="n"/>
      <c r="I974" s="33" t="n"/>
    </row>
    <row r="975">
      <c r="B975" s="33" t="n"/>
      <c r="I975" s="33" t="n"/>
    </row>
    <row r="976">
      <c r="B976" s="33" t="n"/>
      <c r="I976" s="33" t="n"/>
    </row>
    <row r="977">
      <c r="B977" s="33" t="n"/>
      <c r="I977" s="33" t="n"/>
    </row>
    <row r="978">
      <c r="B978" s="33" t="n"/>
      <c r="I978" s="33" t="n"/>
    </row>
    <row r="979">
      <c r="B979" s="33" t="n"/>
      <c r="I979" s="33" t="n"/>
    </row>
    <row r="980">
      <c r="B980" s="33" t="n"/>
      <c r="I980" s="33" t="n"/>
    </row>
    <row r="981">
      <c r="B981" s="33" t="n"/>
      <c r="I981" s="33" t="n"/>
    </row>
    <row r="982">
      <c r="B982" s="33" t="n"/>
      <c r="I982" s="33" t="n"/>
    </row>
    <row r="983">
      <c r="B983" s="33" t="n"/>
      <c r="I983" s="33" t="n"/>
    </row>
    <row r="984">
      <c r="B984" s="33" t="n"/>
      <c r="I984" s="33" t="n"/>
    </row>
    <row r="985">
      <c r="B985" s="33" t="n"/>
      <c r="I985" s="33" t="n"/>
    </row>
    <row r="986">
      <c r="B986" s="33" t="n"/>
      <c r="I986" s="33" t="n"/>
    </row>
    <row r="987">
      <c r="B987" s="33" t="n"/>
      <c r="I987" s="33" t="n"/>
    </row>
    <row r="988">
      <c r="B988" s="33" t="n"/>
      <c r="I988" s="33" t="n"/>
    </row>
    <row r="989">
      <c r="B989" s="33" t="n"/>
      <c r="I989" s="33" t="n"/>
    </row>
    <row r="990">
      <c r="B990" s="33" t="n"/>
      <c r="I990" s="33" t="n"/>
    </row>
    <row r="991">
      <c r="B991" s="33" t="n"/>
      <c r="I991" s="33" t="n"/>
    </row>
    <row r="992">
      <c r="B992" s="33" t="n"/>
      <c r="I992" s="33" t="n"/>
    </row>
    <row r="993">
      <c r="B993" s="33" t="n"/>
      <c r="I993" s="33" t="n"/>
    </row>
    <row r="994">
      <c r="B994" s="33" t="n"/>
      <c r="I994" s="33" t="n"/>
    </row>
    <row r="995">
      <c r="B995" s="33" t="n"/>
      <c r="I995" s="33" t="n"/>
    </row>
    <row r="996">
      <c r="B996" s="33" t="n"/>
      <c r="I996" s="33" t="n"/>
    </row>
    <row r="997">
      <c r="B997" s="33" t="n"/>
      <c r="I997" s="33" t="n"/>
    </row>
    <row r="998">
      <c r="B998" s="33" t="n"/>
      <c r="I998" s="33" t="n"/>
    </row>
    <row r="999">
      <c r="B999" s="33" t="n"/>
      <c r="I999" s="33" t="n"/>
    </row>
    <row r="1000">
      <c r="B1000" s="33" t="n"/>
      <c r="I1000" s="33" t="n"/>
    </row>
  </sheetData>
  <mergeCells count="1">
    <mergeCell ref="A1:I1"/>
  </mergeCells>
  <conditionalFormatting sqref="F5:F1000">
    <cfRule type="expression" priority="1" dxfId="5">
      <formula>$F5="Alta"</formula>
    </cfRule>
    <cfRule type="expression" priority="2" dxfId="4">
      <formula>$F5="Media"</formula>
    </cfRule>
    <cfRule type="expression" priority="3" dxfId="0">
      <formula>$F5="Bassa"</formula>
    </cfRule>
  </conditionalFormatting>
  <conditionalFormatting sqref="H5:H1000">
    <cfRule type="expression" priority="4" dxfId="0">
      <formula>$H5="Risolto"</formula>
    </cfRule>
    <cfRule type="expression" priority="5" dxfId="4">
      <formula>$H5="In corso"</formula>
    </cfRule>
    <cfRule type="expression" priority="6" dxfId="5">
      <formula>$H5="Aperto"</formula>
    </cfRule>
    <cfRule type="expression" priority="7" dxfId="1">
      <formula>$H5="Scartato"</formula>
    </cfRule>
  </conditionalFormatting>
  <dataValidations count="3">
    <dataValidation sqref="C5:C1000" showDropDown="0" showInputMessage="0" showErrorMessage="1" allowBlank="1" errorTitle="Valore non previsto" error="Scegli un valore dall'elenco." type="list">
      <formula1>"BE,FE,Database,Deploy"</formula1>
    </dataValidation>
    <dataValidation sqref="F5:F1000" showDropDown="0" showInputMessage="0" showErrorMessage="1" allowBlank="1" errorTitle="Valore non previsto" error="Scegli un valore dall'elenco." type="list">
      <formula1>"Alta,Media,Bassa"</formula1>
    </dataValidation>
    <dataValidation sqref="H5:H1000" showDropDown="0" showInputMessage="0" showErrorMessage="1" allowBlank="1" errorTitle="Valore non previsto" error="Scegli un valore dall'elenco." type="list">
      <formula1>"Risolto,In corso,Aperto,Scartato"</formula1>
    </dataValidation>
  </dataValidations>
  <hyperlinks>
    <hyperlink ref="I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2026-10-02T14:36:41Z</dcterms:created>
  <dcterms:modified xmlns:dcterms="http://purl.org/dc/terms/" xmlns:xsi="http://www.w3.org/2001/XMLSchema-instance" xsi:type="dcterms:W3CDTF">2026-10-02T14:36:41Z</dcterms:modified>
</cp:coreProperties>
</file>
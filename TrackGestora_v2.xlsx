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Carlo Taranto\Progetti_Tech\Personali\Gestora\"/>
    </mc:Choice>
  </mc:AlternateContent>
  <xr:revisionPtr revIDLastSave="0" documentId="13_ncr:1_{B9ACB81E-512B-4C2B-B227-8992423F01C7}" xr6:coauthVersionLast="47" xr6:coauthVersionMax="47" xr10:uidLastSave="{00000000-0000-0000-0000-000000000000}"/>
  <bookViews>
    <workbookView xWindow="-108" yWindow="-108" windowWidth="41496" windowHeight="16776" firstSheet="6" activeTab="18" xr2:uid="{00000000-000D-0000-FFFF-FFFF00000000}"/>
  </bookViews>
  <sheets>
    <sheet name="Dashboard" sheetId="1" r:id="rId1"/>
    <sheet name="BE · Models" sheetId="2" r:id="rId2"/>
    <sheet name="BE · DTO" sheetId="3" r:id="rId3"/>
    <sheet name="BE · Repository" sheetId="4" r:id="rId4"/>
    <sheet name="BE · Services" sheetId="5" r:id="rId5"/>
    <sheet name="BE · Controllers" sheetId="6" r:id="rId6"/>
    <sheet name="BE · Method" sheetId="7" r:id="rId7"/>
    <sheet name="BE · Validators" sheetId="8" r:id="rId8"/>
    <sheet name="BE · Infrastruttura" sheetId="9" r:id="rId9"/>
    <sheet name="BE · Test" sheetId="10" r:id="rId10"/>
    <sheet name="BE · Auth e Security" sheetId="11" r:id="rId11"/>
    <sheet name="BE · Jobs" sheetId="12" r:id="rId12"/>
    <sheet name="BE · Migration" sheetId="13" r:id="rId13"/>
    <sheet name="FE · Pagine" sheetId="14" r:id="rId14"/>
    <sheet name="FE · Componenti" sheetId="15" r:id="rId15"/>
    <sheet name="FE · Hook e API" sheetId="16" r:id="rId16"/>
    <sheet name="FE · Auth" sheetId="17" r:id="rId17"/>
    <sheet name="FE · Test" sheetId="18" r:id="rId18"/>
    <sheet name="Appunti e Step" sheetId="19" r:id="rId19"/>
    <sheet name="Fix e Bug" sheetId="20" r:id="rId2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8" l="1"/>
  <c r="B3" i="10"/>
  <c r="B3" i="6"/>
  <c r="G39" i="1"/>
  <c r="I38" i="1"/>
  <c r="G38" i="1"/>
  <c r="I37" i="1"/>
  <c r="G37" i="1"/>
  <c r="I36" i="1"/>
  <c r="G36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H5" i="1"/>
  <c r="D5" i="1"/>
  <c r="C5" i="1"/>
  <c r="A5" i="1"/>
</calcChain>
</file>

<file path=xl/sharedStrings.xml><?xml version="1.0" encoding="utf-8"?>
<sst xmlns="http://schemas.openxmlformats.org/spreadsheetml/2006/main" count="2403" uniqueCount="1337">
  <si>
    <t>GESTORA — CRUSCOTTO DEL PROGETTO</t>
  </si>
  <si>
    <t>Aggiornato il 02/10/2026 · versione v1.2.0 · BE e FE sono in fogli separati (prefisso BE · e FE ·)</t>
  </si>
  <si>
    <t>TEST BACKEND</t>
  </si>
  <si>
    <t>TEST FRONTEND</t>
  </si>
  <si>
    <t>ENDPOINT API</t>
  </si>
  <si>
    <t>FIX E BUG APERTI</t>
  </si>
  <si>
    <t>INDICE DEI FOGLI — clicca sul nome per aprirlo</t>
  </si>
  <si>
    <t>QUANTE RIGHE IN OGNI FOGLIO</t>
  </si>
  <si>
    <t>Foglio</t>
  </si>
  <si>
    <t>Lato</t>
  </si>
  <si>
    <t>Cosa contiene</t>
  </si>
  <si>
    <t>Righe</t>
  </si>
  <si>
    <t>BE · Models</t>
  </si>
  <si>
    <t>Backend</t>
  </si>
  <si>
    <t>Entità, campi e vincoli del database</t>
  </si>
  <si>
    <t>BE · DTO</t>
  </si>
  <si>
    <t>Forme dei dati in entrata e in uscita</t>
  </si>
  <si>
    <t>BE · Repository</t>
  </si>
  <si>
    <t>Metodi che leggono e scrivono nel database</t>
  </si>
  <si>
    <t>BE · Services</t>
  </si>
  <si>
    <t>Servizi e componenti di supporto</t>
  </si>
  <si>
    <t>BE · Controllers</t>
  </si>
  <si>
    <t>Endpoint, ruoli e cosa fanno</t>
  </si>
  <si>
    <t>BE · Method</t>
  </si>
  <si>
    <t>Metodi di servizi e supporto, in poche parole</t>
  </si>
  <si>
    <t>BE · Validators</t>
  </si>
  <si>
    <t>Controlli automatici sui dati in arrivo</t>
  </si>
  <si>
    <t>BE · Infrastruttura</t>
  </si>
  <si>
    <t>Configurazione, gestione errori, avvio, deploy</t>
  </si>
  <si>
    <t>BE · Test</t>
  </si>
  <si>
    <t>Classi di test del backend</t>
  </si>
  <si>
    <t>BE · Auth e Security</t>
  </si>
  <si>
    <t>Login, token, ruoli, protezioni</t>
  </si>
  <si>
    <t>BE · Jobs</t>
  </si>
  <si>
    <t>Lavori automatici notturni</t>
  </si>
  <si>
    <t>BE · Migration</t>
  </si>
  <si>
    <t>Modifiche allo schema del database</t>
  </si>
  <si>
    <t>FE · Pagine</t>
  </si>
  <si>
    <t>Frontend</t>
  </si>
  <si>
    <t>Schermate, indirizzi e permessi</t>
  </si>
  <si>
    <t>FE · Componenti</t>
  </si>
  <si>
    <t>Componenti React e dove si usano</t>
  </si>
  <si>
    <t>FE · Hook e API</t>
  </si>
  <si>
    <t>Hook React e chiamate all'API</t>
  </si>
  <si>
    <t>FE · Auth</t>
  </si>
  <si>
    <t>Token, guardie delle pagine, sessione</t>
  </si>
  <si>
    <t>FE · Test</t>
  </si>
  <si>
    <t>File di test del frontend</t>
  </si>
  <si>
    <t>Appunti e Step</t>
  </si>
  <si>
    <t>Manuale</t>
  </si>
  <si>
    <t>Diario di lavoro (manuale)</t>
  </si>
  <si>
    <t>Fix e Bug</t>
  </si>
  <si>
    <t>Registro dei difetti (manuale)</t>
  </si>
  <si>
    <t>AMBIENTI</t>
  </si>
  <si>
    <t>Ambiente</t>
  </si>
  <si>
    <t>Dove</t>
  </si>
  <si>
    <t>Indirizzo</t>
  </si>
  <si>
    <t>Frontend produzione</t>
  </si>
  <si>
    <t>Vercel</t>
  </si>
  <si>
    <t>https://gestora-project-xi.vercel.app</t>
  </si>
  <si>
    <t>Backend produzione</t>
  </si>
  <si>
    <t>Azure App Service F1</t>
  </si>
  <si>
    <t>gestora-api-….azurewebsites.net/health</t>
  </si>
  <si>
    <t>Database produzione</t>
  </si>
  <si>
    <t>Neon (PostgreSQL)</t>
  </si>
  <si>
    <t>Pannello Neon</t>
  </si>
  <si>
    <t>Frontend locale</t>
  </si>
  <si>
    <t>Vite</t>
  </si>
  <si>
    <t>http://localhost:5173</t>
  </si>
  <si>
    <t>FIX E BUG PER STATO</t>
  </si>
  <si>
    <t>Backend locale</t>
  </si>
  <si>
    <t>dotnet run</t>
  </si>
  <si>
    <t>http://localhost:5099</t>
  </si>
  <si>
    <t>Stato</t>
  </si>
  <si>
    <t>Quanti</t>
  </si>
  <si>
    <t>Gravità</t>
  </si>
  <si>
    <t>Aperti</t>
  </si>
  <si>
    <t>Database locale</t>
  </si>
  <si>
    <t>PostgreSQL sulla macchina</t>
  </si>
  <si>
    <t>—</t>
  </si>
  <si>
    <t>Risolto</t>
  </si>
  <si>
    <t>Alta</t>
  </si>
  <si>
    <t>In corso</t>
  </si>
  <si>
    <t>Media</t>
  </si>
  <si>
    <t>STACK TECNOLOGICO</t>
  </si>
  <si>
    <t>Aperto</t>
  </si>
  <si>
    <t>Bassa</t>
  </si>
  <si>
    <t>Tecnologia</t>
  </si>
  <si>
    <t>Versione</t>
  </si>
  <si>
    <t>Scartato</t>
  </si>
  <si>
    <t>ASP.NET Core / .NET</t>
  </si>
  <si>
    <t>9</t>
  </si>
  <si>
    <t>Entity Framework Core</t>
  </si>
  <si>
    <t>9.0.9</t>
  </si>
  <si>
    <t>PostgreSQL (Npgsql)</t>
  </si>
  <si>
    <t>9.0.4</t>
  </si>
  <si>
    <t>Identity + JWT Bearer</t>
  </si>
  <si>
    <t>Quartz.NET</t>
  </si>
  <si>
    <t>3.15.0</t>
  </si>
  <si>
    <t>FluentValidation</t>
  </si>
  <si>
    <t>11.3.1</t>
  </si>
  <si>
    <t>AutoMapper</t>
  </si>
  <si>
    <t>12.0.1 (ferma)</t>
  </si>
  <si>
    <t>Serilog</t>
  </si>
  <si>
    <t>9.0.0</t>
  </si>
  <si>
    <t>Swashbuckle (Swagger)</t>
  </si>
  <si>
    <t>xUnit + Moq</t>
  </si>
  <si>
    <t>2.9.3 / 4.20.70</t>
  </si>
  <si>
    <t>React</t>
  </si>
  <si>
    <t>19.2</t>
  </si>
  <si>
    <t>TypeScript</t>
  </si>
  <si>
    <t>6.0</t>
  </si>
  <si>
    <t>8.0</t>
  </si>
  <si>
    <t>React Router</t>
  </si>
  <si>
    <t>7.15</t>
  </si>
  <si>
    <t>TanStack Query</t>
  </si>
  <si>
    <t>5.100</t>
  </si>
  <si>
    <t>Axios</t>
  </si>
  <si>
    <t>1.16</t>
  </si>
  <si>
    <t>React Hook Form + Zod</t>
  </si>
  <si>
    <t>7.76 / 4.4</t>
  </si>
  <si>
    <t>Tailwind CSS + shadcn/ui</t>
  </si>
  <si>
    <t>4.3 / 4.7</t>
  </si>
  <si>
    <t>Vitest + Testing Library</t>
  </si>
  <si>
    <t>5.0 / 16.3</t>
  </si>
  <si>
    <t>Docker Hub + GitHub Actions</t>
  </si>
  <si>
    <t>Deploy</t>
  </si>
  <si>
    <t>Azure App Service · Vercel · Neon</t>
  </si>
  <si>
    <t>DOVE STA COSA (fuori da questo file)</t>
  </si>
  <si>
    <t>Cerchi…</t>
  </si>
  <si>
    <t>File</t>
  </si>
  <si>
    <t>Stato del progetto, decisioni, regole</t>
  </si>
  <si>
    <t>CLAUDE.md</t>
  </si>
  <si>
    <t>cartella principale</t>
  </si>
  <si>
    <t>Cosa resta da fare</t>
  </si>
  <si>
    <t>BACKLOG.md</t>
  </si>
  <si>
    <t>Come si fa un'operazione (reset, migration, deploy)</t>
  </si>
  <si>
    <t>RUNBOOK.md</t>
  </si>
  <si>
    <t>Storia delle fasi e lezioni imparate</t>
  </si>
  <si>
    <t>STORICO_FASI.md</t>
  </si>
  <si>
    <t>docs/archivio</t>
  </si>
  <si>
    <t>Vecchi tracker</t>
  </si>
  <si>
    <t>TrackAttività_Gestora.xlsx, TrackGestora_v2_fino_al_02-10-2026.xlsx</t>
  </si>
  <si>
    <t>BE · MODELLI — LE TABELLE DEL DATABASE</t>
  </si>
  <si>
    <t>Una riga per campo. Le entità stanno in GestoraWebApi/Models, la configurazione in Context/GestoraContext.cs.</t>
  </si>
  <si>
    <t>← Torna alla Dashboard</t>
  </si>
  <si>
    <t>Entità</t>
  </si>
  <si>
    <t>Tabella</t>
  </si>
  <si>
    <t>Campo</t>
  </si>
  <si>
    <t>Tipo</t>
  </si>
  <si>
    <t>Obbligatorio</t>
  </si>
  <si>
    <t>Note</t>
  </si>
  <si>
    <t>Zona</t>
  </si>
  <si>
    <t>Zone</t>
  </si>
  <si>
    <t>Id</t>
  </si>
  <si>
    <t>long</t>
  </si>
  <si>
    <t>Sì</t>
  </si>
  <si>
    <t>Chiave</t>
  </si>
  <si>
    <t>Nome</t>
  </si>
  <si>
    <t>string</t>
  </si>
  <si>
    <t>Nome della zona (es. Sala, Dehors), max 100 caratteri</t>
  </si>
  <si>
    <t>Attiva</t>
  </si>
  <si>
    <t>bool</t>
  </si>
  <si>
    <t>Spenta = non si usa per nuove prenotazioni</t>
  </si>
  <si>
    <t>Postazioni</t>
  </si>
  <si>
    <t>lista di Postazione</t>
  </si>
  <si>
    <t>I tavoli della zona</t>
  </si>
  <si>
    <t>Postazione</t>
  </si>
  <si>
    <t>Numero</t>
  </si>
  <si>
    <t>int</t>
  </si>
  <si>
    <t>Numero del tavolo</t>
  </si>
  <si>
    <t>CapienzaMassima</t>
  </si>
  <si>
    <t>Posti a sedere, qualsiasi numero da 1 in su</t>
  </si>
  <si>
    <t>Spento = non viene assegnato</t>
  </si>
  <si>
    <t>ZonaId</t>
  </si>
  <si>
    <t>Zona del tavolo</t>
  </si>
  <si>
    <t>PrenotazioniPostazioni</t>
  </si>
  <si>
    <t>lista</t>
  </si>
  <si>
    <t>Le prenotazioni assegnate al tavolo</t>
  </si>
  <si>
    <t>FasciaOraria</t>
  </si>
  <si>
    <t>FasceOrarie</t>
  </si>
  <si>
    <t>GiornoSettimana</t>
  </si>
  <si>
    <t>DayOfWeek</t>
  </si>
  <si>
    <t>0 = domenica … 6 = sabato</t>
  </si>
  <si>
    <t>OrarioInizio</t>
  </si>
  <si>
    <t>TimeOnly</t>
  </si>
  <si>
    <t>Inizio della fascia</t>
  </si>
  <si>
    <t>OrarioFine</t>
  </si>
  <si>
    <t>Dopo l'inizio, al massimo 23:59</t>
  </si>
  <si>
    <t>MaxCoperti</t>
  </si>
  <si>
    <t>Tetto di coperti: decide quando la fascia è piena</t>
  </si>
  <si>
    <t>Spenta = non si prenota</t>
  </si>
  <si>
    <t>Prenotazioni</t>
  </si>
  <si>
    <t>lista di Prenotazione</t>
  </si>
  <si>
    <t>Le prenotazioni della fascia</t>
  </si>
  <si>
    <t>Prenotazione</t>
  </si>
  <si>
    <t>DataPrenotazione</t>
  </si>
  <si>
    <t>DateOnly</t>
  </si>
  <si>
    <t>Il giorno della prenotazione</t>
  </si>
  <si>
    <t>NumeroCoperti</t>
  </si>
  <si>
    <t>Da 1 a 50</t>
  </si>
  <si>
    <t>StatoPrenotazione</t>
  </si>
  <si>
    <t>Salvato come testo nel database</t>
  </si>
  <si>
    <t>No</t>
  </si>
  <si>
    <t>Max 500 caratteri</t>
  </si>
  <si>
    <t>NomeCliente</t>
  </si>
  <si>
    <t>Chi ha chiamato, se prenota lo Staff. Max 200</t>
  </si>
  <si>
    <t>UserId</t>
  </si>
  <si>
    <t>Chi l'ha creata. Un utente con prenotazioni non si elimina</t>
  </si>
  <si>
    <t>FasciaOrariaId</t>
  </si>
  <si>
    <t>La fascia oraria</t>
  </si>
  <si>
    <t>I tavoli assegnati</t>
  </si>
  <si>
    <t>PrenotazionePostazione</t>
  </si>
  <si>
    <t>PostazioneId</t>
  </si>
  <si>
    <t>Chiave, insieme a PrenotazioneId</t>
  </si>
  <si>
    <t>PrenotazioneId</t>
  </si>
  <si>
    <t>Chiave, insieme a PostazioneId</t>
  </si>
  <si>
    <t>NumeroPosti</t>
  </si>
  <si>
    <t>Posti usati su quel tavolo</t>
  </si>
  <si>
    <t>Copiata dalla prenotazione</t>
  </si>
  <si>
    <t>Indice unico tavolo + data + fascia: un tavolo non si prenota due volte</t>
  </si>
  <si>
    <t>Logging</t>
  </si>
  <si>
    <t>LogActivities</t>
  </si>
  <si>
    <t>Chi ha fatto l'azione (max 450)</t>
  </si>
  <si>
    <t>Action</t>
  </si>
  <si>
    <t>Cosa ha fatto (max 500)</t>
  </si>
  <si>
    <t>Timestamp</t>
  </si>
  <si>
    <t>DateTime</t>
  </si>
  <si>
    <t>Quando. Indicizzato, anche insieme a UserId</t>
  </si>
  <si>
    <t>IPAddress</t>
  </si>
  <si>
    <t>Da dove (max 45)</t>
  </si>
  <si>
    <t>ApplicationUser</t>
  </si>
  <si>
    <t>Utenti</t>
  </si>
  <si>
    <t>(campi di Identity)</t>
  </si>
  <si>
    <t>IdentityUser</t>
  </si>
  <si>
    <t>Nome utente, email, password cifrata, security stamp</t>
  </si>
  <si>
    <t>Le prenotazioni create dall'utente</t>
  </si>
  <si>
    <t>IdentityRole</t>
  </si>
  <si>
    <t>Ruoli</t>
  </si>
  <si>
    <t>Name</t>
  </si>
  <si>
    <t>Admin, Staff, Cliente. Creati all'avvio se mancano</t>
  </si>
  <si>
    <t>StatoPrenotazione (enum)</t>
  </si>
  <si>
    <t>Attiva = 0</t>
  </si>
  <si>
    <t>valore</t>
  </si>
  <si>
    <t>Appena creata</t>
  </si>
  <si>
    <t>InCorso = 1</t>
  </si>
  <si>
    <t>Confermata: il cliente è arrivato</t>
  </si>
  <si>
    <t>Annullata = 2</t>
  </si>
  <si>
    <t>Annullata prima della fine della fascia</t>
  </si>
  <si>
    <t>Completata = 3</t>
  </si>
  <si>
    <t>Chiusa dallo Staff o dal job notturno</t>
  </si>
  <si>
    <t>NonPresentata = 4</t>
  </si>
  <si>
    <t>Il cliente non si è presentato (segnato di notte)</t>
  </si>
  <si>
    <t>BE · DTO — I DATI CHE VIAGGIANO NELLE CHIAMATE</t>
  </si>
  <si>
    <t>Non sono tabelle: sono le forme dei dati in entrata e in uscita dall'API. Stanno nelle cartelle DTOs dei servizi.</t>
  </si>
  <si>
    <t>DTO</t>
  </si>
  <si>
    <t>Area</t>
  </si>
  <si>
    <t>Serve a</t>
  </si>
  <si>
    <t>Campi principali</t>
  </si>
  <si>
    <t>ZonaDTO</t>
  </si>
  <si>
    <t>Creare, modificare e leggere una zona</t>
  </si>
  <si>
    <t>Id, Nome, Attiva</t>
  </si>
  <si>
    <t>PostazioneDTO</t>
  </si>
  <si>
    <t>Tavoli</t>
  </si>
  <si>
    <t>Creare e leggere un tavolo</t>
  </si>
  <si>
    <t>Id, Numero, CapienzaMassima, ZonaId, Attiva</t>
  </si>
  <si>
    <t>PostazioneUpdateDTO</t>
  </si>
  <si>
    <t>Modificare un tavolo</t>
  </si>
  <si>
    <t>PostazioniDisponibiliDTO</t>
  </si>
  <si>
    <t>Tavoli liberi in una data e fascia</t>
  </si>
  <si>
    <t>Id, Numero, CapienzaMassima, ZonaId, Unita</t>
  </si>
  <si>
    <t>AssociaPostazioniDTO</t>
  </si>
  <si>
    <t>Spostare un tavolo in un'altra zona</t>
  </si>
  <si>
    <t>PostazioneId, ZonaId</t>
  </si>
  <si>
    <t>RiepilogoSalaDTO</t>
  </si>
  <si>
    <t>Riepilogo della sala in cima a Postazioni</t>
  </si>
  <si>
    <t>TavoliAttivi, PostiTotali, Fasce</t>
  </si>
  <si>
    <t>RiepilogoFasciaDTO</t>
  </si>
  <si>
    <t>Posti dei tavoli confrontati col tetto della fascia</t>
  </si>
  <si>
    <t>GiornoSettimana, orari, MaxCoperti, PostiTavoli, TettoCoperto</t>
  </si>
  <si>
    <t>FasciaOrariaDTO</t>
  </si>
  <si>
    <t>Fasce orarie</t>
  </si>
  <si>
    <t>Creare, modificare e leggere una fascia</t>
  </si>
  <si>
    <t>Id, OrarioInizio, OrarioFine, GiornoSettimana, MaxCoperti, Attiva</t>
  </si>
  <si>
    <t>DisponibilitaFasciaDTO</t>
  </si>
  <si>
    <t>Posti liberi in una fascia</t>
  </si>
  <si>
    <t>FasciaId, PostiTotali, PostiOccupati, PostiDisponibili</t>
  </si>
  <si>
    <t>PrenotazioneCreateDTO</t>
  </si>
  <si>
    <t>Creare o modificare una prenotazione</t>
  </si>
  <si>
    <t>DataPrenotazione, NumeroCoperti, FasciaOrariaId, ZonaId, Note, NomeCliente</t>
  </si>
  <si>
    <t>PrenotazioneDTO</t>
  </si>
  <si>
    <t>Prenotazione restituita dall'API</t>
  </si>
  <si>
    <t>Id, data, coperti, Stato, orari, Postazioni, NumeroTurno</t>
  </si>
  <si>
    <t>PostazioneAssegnataDTO</t>
  </si>
  <si>
    <t>Un tavolo assegnato a una prenotazione</t>
  </si>
  <si>
    <t>Numero, NomeZona, ZonaId, NumeroPosti</t>
  </si>
  <si>
    <t>PrenotazioniQueryParams</t>
  </si>
  <si>
    <t>Filtri e pagine dell'elenco prenotazioni</t>
  </si>
  <si>
    <t>Data, Stato, FasciaOrariaId, pagina</t>
  </si>
  <si>
    <t>CheckDisponibilitaDTO</t>
  </si>
  <si>
    <t>Disponibilità</t>
  </si>
  <si>
    <t>Domanda: «c'è posto in questa data?»</t>
  </si>
  <si>
    <t>DataPrenotazione, NumeroCoperti</t>
  </si>
  <si>
    <t>DisponibilitaResponseDTO</t>
  </si>
  <si>
    <t>Risposta con l'elenco delle fasce</t>
  </si>
  <si>
    <t>Fasce</t>
  </si>
  <si>
    <t>FasciaDisponibilitaDTO</t>
  </si>
  <si>
    <t>Una fascia con i posti residui</t>
  </si>
  <si>
    <t>orari, MaxCoperti, PostiResiduiFascia, DisponibilePerRichiesta, Messaggio</t>
  </si>
  <si>
    <t>PostazioneDisponibilitaDTO</t>
  </si>
  <si>
    <t>Un tavolo con i posti liberi</t>
  </si>
  <si>
    <t>PostazioneId, Numero, Capienza, PostiDisponibili</t>
  </si>
  <si>
    <t>DashboardGiornalieroDTO</t>
  </si>
  <si>
    <t>Dashboard</t>
  </si>
  <si>
    <t>Numeri del giorno</t>
  </si>
  <si>
    <t>totali per stato, coperti, tavoli occupati e liberi, CopertiPerFascia</t>
  </si>
  <si>
    <t>CopertiFasciaDTO</t>
  </si>
  <si>
    <t>Coperti di una fascia nel giorno</t>
  </si>
  <si>
    <t>MaxCoperti, CopertiPrenotati, CopertiOltreIlTetto, tavoli</t>
  </si>
  <si>
    <t>DashboardSettimanaleDTO</t>
  </si>
  <si>
    <t>Numeri della settimana</t>
  </si>
  <si>
    <t>TotalePrenotazioni, TotaleCoperti, TassoAnnullamento, TassoNoShow, Giorni</t>
  </si>
  <si>
    <t>GiornoSettimanaleDTO</t>
  </si>
  <si>
    <t>Un giorno della settimana</t>
  </si>
  <si>
    <t>NumeroPrenotazioni, NumeroCoperti, Annullate, NonPresentate</t>
  </si>
  <si>
    <t>RegisterDTO</t>
  </si>
  <si>
    <t>Registrazione e creazione utente</t>
  </si>
  <si>
    <t>Username, Email, Password</t>
  </si>
  <si>
    <t>UpdateUserDTO</t>
  </si>
  <si>
    <t>Modificare nome o email</t>
  </si>
  <si>
    <t>UserName, Email</t>
  </si>
  <si>
    <t>UserResponseDTO</t>
  </si>
  <si>
    <t>Utente nell'elenco dell'Admin</t>
  </si>
  <si>
    <t>Id, UserName, Email, Roles</t>
  </si>
  <si>
    <t>AssignRoleDTO</t>
  </si>
  <si>
    <t>Dare o togliere un ruolo</t>
  </si>
  <si>
    <t>UserId, Role</t>
  </si>
  <si>
    <t>AdminResetPasswordDTO</t>
  </si>
  <si>
    <t>Nuova password scelta dall'Admin</t>
  </si>
  <si>
    <t>NewPassword</t>
  </si>
  <si>
    <t>SetupStatoDTO</t>
  </si>
  <si>
    <t>Primo avvio</t>
  </si>
  <si>
    <t>Dice se esiste già un Admin</t>
  </si>
  <si>
    <t>SetupCompletato</t>
  </si>
  <si>
    <t>LoginRequest</t>
  </si>
  <si>
    <t>Login (classe di ASP.NET, non nostra)</t>
  </si>
  <si>
    <t>Email, Password</t>
  </si>
  <si>
    <t>LogActivityDTO</t>
  </si>
  <si>
    <t>Registro</t>
  </si>
  <si>
    <t>Una riga del registro azioni</t>
  </si>
  <si>
    <t>UserName, Action, Timestamp, IPAddress</t>
  </si>
  <si>
    <t>LogActivityQueryParams</t>
  </si>
  <si>
    <t>Filtri del registro</t>
  </si>
  <si>
    <t>UserId, Da, A, Azione</t>
  </si>
  <si>
    <t>PagedResult&lt;T&gt;</t>
  </si>
  <si>
    <t>Comune</t>
  </si>
  <si>
    <t>Elenco a pagine</t>
  </si>
  <si>
    <t>Items, TotalCount, Page, PageSize</t>
  </si>
  <si>
    <t>ErrorDetails / ErrorItem</t>
  </si>
  <si>
    <t>Forma unica delle risposte di errore</t>
  </si>
  <si>
    <t>StatusCode, Message, Errors (Field, Error)</t>
  </si>
  <si>
    <t>BE · REPOSITORY — LETTURA E SCRITTURA NEL DATABASE</t>
  </si>
  <si>
    <t>Un repository per tabella. Cartella GestoraWebApi/Repositories.</t>
  </si>
  <si>
    <t>Repository</t>
  </si>
  <si>
    <t>Metodo</t>
  </si>
  <si>
    <t>Cosa fa</t>
  </si>
  <si>
    <t>IRepository&lt;T&gt; (base)</t>
  </si>
  <si>
    <t>GetByIdAsync</t>
  </si>
  <si>
    <t>Legge un elemento per Id</t>
  </si>
  <si>
    <t>AddAsync</t>
  </si>
  <si>
    <t>Aggiunge e salva</t>
  </si>
  <si>
    <t>UpdateAsync</t>
  </si>
  <si>
    <t>Aggiorna e salva</t>
  </si>
  <si>
    <t>DeleteAsync</t>
  </si>
  <si>
    <t>Elimina</t>
  </si>
  <si>
    <t>ZonaRepository</t>
  </si>
  <si>
    <t>GetByNameAsync</t>
  </si>
  <si>
    <t>Cerca una zona per nome</t>
  </si>
  <si>
    <t>Serve a evitare nomi doppi</t>
  </si>
  <si>
    <t>GetAllZoneAsync</t>
  </si>
  <si>
    <t>Tutte le zone</t>
  </si>
  <si>
    <t>GetAllZoneAttiveAsync</t>
  </si>
  <si>
    <t>Solo le zone attive</t>
  </si>
  <si>
    <t>IsZonaUsataAsync</t>
  </si>
  <si>
    <t>Dice se la zona ha tavoli</t>
  </si>
  <si>
    <t>Una zona con tavoli non si elimina</t>
  </si>
  <si>
    <t>UpdateStatoZonaAsync</t>
  </si>
  <si>
    <t>Accende o spegne la zona</t>
  </si>
  <si>
    <t>(4 metodi base)</t>
  </si>
  <si>
    <t>Da IRepository&lt;T&gt;</t>
  </si>
  <si>
    <t>PostazioneRepository</t>
  </si>
  <si>
    <t>GetAllQueryable</t>
  </si>
  <si>
    <t>Base per le ricerche sui tavoli</t>
  </si>
  <si>
    <t>Legge un tavolo</t>
  </si>
  <si>
    <t>GetPostazioniAttiveAsync</t>
  </si>
  <si>
    <t>Tavoli attivi</t>
  </si>
  <si>
    <t>GetPostazioniPerZonaAsync</t>
  </si>
  <si>
    <t>Tavoli di una zona</t>
  </si>
  <si>
    <t>GetPostazioniDisponibiliAsync</t>
  </si>
  <si>
    <t>HasPrenotazioniFutureAsync</t>
  </si>
  <si>
    <t>Dice se il tavolo ha prenotazioni future</t>
  </si>
  <si>
    <t>HasPrenotazioniViveAsync</t>
  </si>
  <si>
    <t>Dice se il tavolo ha prenotazioni non chiuse</t>
  </si>
  <si>
    <t>Blocca l'eliminazione</t>
  </si>
  <si>
    <t>Aggiunge un tavolo</t>
  </si>
  <si>
    <t>Aggiorna un tavolo</t>
  </si>
  <si>
    <t>Elimina un tavolo</t>
  </si>
  <si>
    <t>FasciaOrariaRepository</t>
  </si>
  <si>
    <t>Base per le ricerche sulle fasce</t>
  </si>
  <si>
    <t>Legge una fascia</t>
  </si>
  <si>
    <t>GetByIdConLockAsync</t>
  </si>
  <si>
    <t>Legge una fascia bloccandola</t>
  </si>
  <si>
    <t>FOR UPDATE: due prenotazioni insieme non sforano il tetto</t>
  </si>
  <si>
    <t>GetAllFasceAsync</t>
  </si>
  <si>
    <t>Tutte le fasce</t>
  </si>
  <si>
    <t>GetFasceAttiveAsync</t>
  </si>
  <si>
    <t>Solo le fasce attive</t>
  </si>
  <si>
    <t>GetFasceByGiornoAsync</t>
  </si>
  <si>
    <t>Fasce di un giorno della settimana</t>
  </si>
  <si>
    <t>CountNumeroCopertiFasciaOrariaAsync</t>
  </si>
  <si>
    <t>Somma i coperti già prenotati in fascia e data</t>
  </si>
  <si>
    <t>Serve al controllo del tetto</t>
  </si>
  <si>
    <t>Dice se la fascia ha prenotazioni future</t>
  </si>
  <si>
    <t>Se sì, giorno e orari non si cambiano</t>
  </si>
  <si>
    <t>IsFasciaUsataAsync</t>
  </si>
  <si>
    <t>Dice se la fascia è mai stata prenotata</t>
  </si>
  <si>
    <t>Se sì, non si elimina</t>
  </si>
  <si>
    <t>Aggiunge una fascia</t>
  </si>
  <si>
    <t>Aggiorna una fascia</t>
  </si>
  <si>
    <t>Elimina una fascia</t>
  </si>
  <si>
    <t>PrenotazioniRepository</t>
  </si>
  <si>
    <t>GetAllQueryableAsync</t>
  </si>
  <si>
    <t>Base per elenco e filtri</t>
  </si>
  <si>
    <t>GetAllPrenotazioniAsync</t>
  </si>
  <si>
    <t>Tutte le prenotazioni</t>
  </si>
  <si>
    <t>GetPrenotazioniByDataAsync</t>
  </si>
  <si>
    <t>Prenotazioni di una data</t>
  </si>
  <si>
    <t>GetTrackedByIdAsync</t>
  </si>
  <si>
    <t>Legge una prenotazione per modificarla</t>
  </si>
  <si>
    <t>BloccaPerModificaAsync</t>
  </si>
  <si>
    <t>Blocca la riga prima di cambiarla</t>
  </si>
  <si>
    <t>FOR UPDATE (AUD-M4)</t>
  </si>
  <si>
    <t>AggiornaStatoAsync</t>
  </si>
  <si>
    <t>Cambia lo stato a più prenotazioni insieme</t>
  </si>
  <si>
    <t>Usato dal job notturno</t>
  </si>
  <si>
    <t>EliminaPerIdAsync</t>
  </si>
  <si>
    <t>Elimina più prenotazioni insieme</t>
  </si>
  <si>
    <t>Usato dalla pulizia notturna</t>
  </si>
  <si>
    <t>GetFasceOrarieByDayAsync</t>
  </si>
  <si>
    <t>Fasce di un giorno</t>
  </si>
  <si>
    <t>LogActivityRepository</t>
  </si>
  <si>
    <t>Base per cercare nel registro</t>
  </si>
  <si>
    <t>Scrive una riga nel registro</t>
  </si>
  <si>
    <t>BE · SERVICES — LA LOGICA DEL GESTIONALE</t>
  </si>
  <si>
    <t>Le regole stanno qui, non nei controller. Cartella GestoraWebApi/Services (motori e supporto anche in Common e Infrastructure).</t>
  </si>
  <si>
    <t>Servizio</t>
  </si>
  <si>
    <t>Usa</t>
  </si>
  <si>
    <t>Cache</t>
  </si>
  <si>
    <t>ZonaService</t>
  </si>
  <si>
    <t>Crea, modifica, accende/spegne ed elimina le zone</t>
  </si>
  <si>
    <t>ZonaRepository, LogActivity</t>
  </si>
  <si>
    <t>zone_all, zone_attive</t>
  </si>
  <si>
    <t>Non elimina una zona con tavoli</t>
  </si>
  <si>
    <t>PostazioneService</t>
  </si>
  <si>
    <t>Gestisce i tavoli e il riepilogo della sala</t>
  </si>
  <si>
    <t>Postazione, Zona e Fascia repository</t>
  </si>
  <si>
    <t>postazioni_attive</t>
  </si>
  <si>
    <t>Non elimina un tavolo con prenotazioni aperte</t>
  </si>
  <si>
    <t>FasciaOrariaService</t>
  </si>
  <si>
    <t>Gestisce le fasce orarie e i loro tetti</t>
  </si>
  <si>
    <t>FasciaOrariaRepository, LogActivity</t>
  </si>
  <si>
    <t>fasce_attive, fasce per giorno</t>
  </si>
  <si>
    <t>Giorno e orari bloccati se ci sono prenotazioni future</t>
  </si>
  <si>
    <t>PrenotazioniService</t>
  </si>
  <si>
    <t>Crea, modifica e cambia stato alle prenotazioni</t>
  </si>
  <si>
    <t>Prenotazioni e Fasce repository, Assegnazione, IClock</t>
  </si>
  <si>
    <t>Il servizio più importante: tetto coperti, regole, job</t>
  </si>
  <si>
    <t>PostazioneAssignmentService</t>
  </si>
  <si>
    <t>Sceglie i tavoli per una prenotazione</t>
  </si>
  <si>
    <t>PostazioneRepository, AssegnazioneTavoli</t>
  </si>
  <si>
    <t>DisponibilitaService</t>
  </si>
  <si>
    <t>Dice quali fasce hanno posto in una data</t>
  </si>
  <si>
    <t>Fasce e Prenotazioni repository, AssegnazioneTavoli</t>
  </si>
  <si>
    <t>Usato anche dalla pagina pubblica</t>
  </si>
  <si>
    <t>DashboardService</t>
  </si>
  <si>
    <t>Calcola i numeri della dashboard</t>
  </si>
  <si>
    <t>GestoraContext (sola lettura), IClock</t>
  </si>
  <si>
    <t>LogActivityService</t>
  </si>
  <si>
    <t>Scrive e legge il registro delle azioni</t>
  </si>
  <si>
    <t>UserManager (Identity)</t>
  </si>
  <si>
    <t>Framework</t>
  </si>
  <si>
    <t>Gestisce utenti, ruoli e password</t>
  </si>
  <si>
    <t>Usato direttamente dai controller</t>
  </si>
  <si>
    <t>Non c'è un servizio utenti nostro</t>
  </si>
  <si>
    <t>AssegnazioneTavoli</t>
  </si>
  <si>
    <t>Motore</t>
  </si>
  <si>
    <t>Trova i tavoli che sprecano meno posti</t>
  </si>
  <si>
    <t>Max 4 tavoli della stessa zona; bonus testate solo per tavoli da 2</t>
  </si>
  <si>
    <t>JwtTokenGenerator</t>
  </si>
  <si>
    <t>Supporto</t>
  </si>
  <si>
    <t>Crea il token dopo il login</t>
  </si>
  <si>
    <t>JwtSettings</t>
  </si>
  <si>
    <t>Nel token: Id, email, ruoli, security stamp</t>
  </si>
  <si>
    <t>SystemClock (IClock)</t>
  </si>
  <si>
    <t>Dà data e ora di Roma, uguali ovunque</t>
  </si>
  <si>
    <t>Nei test si usa TestClock</t>
  </si>
  <si>
    <t>EsecutoreTransazione</t>
  </si>
  <si>
    <t>Esegue un'operazione in transazione, riprovando se il database cade</t>
  </si>
  <si>
    <t>GestoraContext</t>
  </si>
  <si>
    <t>CacheKeys</t>
  </si>
  <si>
    <t>Nomi delle chiavi della cache</t>
  </si>
  <si>
    <t>30 minuti</t>
  </si>
  <si>
    <t>IndirizzoClient</t>
  </si>
  <si>
    <t>Trova l'IP vero di chi chiama</t>
  </si>
  <si>
    <t>Legge X-Forwarded-For</t>
  </si>
  <si>
    <t>Profili AutoMapper (4)</t>
  </si>
  <si>
    <t>Copiano i dati da entità a DTO</t>
  </si>
  <si>
    <t>Zona, Postazione, FasciaOraria, Prenotazione</t>
  </si>
  <si>
    <t>BE · CONTROLLERS — GLI ENDPOINT DELL'API</t>
  </si>
  <si>
    <t>Indirizzo base /api/{controller}. Pubblico = senza login. Cartella GestoraWebApi/Controllers.</t>
  </si>
  <si>
    <t>Endpoint:</t>
  </si>
  <si>
    <t>Controller</t>
  </si>
  <si>
    <t>Verbo</t>
  </si>
  <si>
    <t>Route</t>
  </si>
  <si>
    <t>Chi può</t>
  </si>
  <si>
    <t>Limite</t>
  </si>
  <si>
    <t>AuthenticationUser</t>
  </si>
  <si>
    <t>POST</t>
  </si>
  <si>
    <t>/api/AuthenticationUser/register</t>
  </si>
  <si>
    <t>Pubblico</t>
  </si>
  <si>
    <t>Register</t>
  </si>
  <si>
    <t>Registra un nuovo Cliente</t>
  </si>
  <si>
    <t>/api/AuthenticationUser/login</t>
  </si>
  <si>
    <t>Login</t>
  </si>
  <si>
    <t>Login: restituisce il token</t>
  </si>
  <si>
    <t>5 al minuto per IP</t>
  </si>
  <si>
    <t>GET</t>
  </si>
  <si>
    <t>/api/AuthenticationUser/get-users</t>
  </si>
  <si>
    <t>Admin</t>
  </si>
  <si>
    <t>GetUsers</t>
  </si>
  <si>
    <t>Elenco utenti con ruoli</t>
  </si>
  <si>
    <t>/api/AuthenticationUser/get-user/{id}</t>
  </si>
  <si>
    <t>GetUserById</t>
  </si>
  <si>
    <t>Legge un utente</t>
  </si>
  <si>
    <t>PUT</t>
  </si>
  <si>
    <t>/api/AuthenticationUser/update-user/{id}</t>
  </si>
  <si>
    <t>UpdateUser</t>
  </si>
  <si>
    <t>Modifica nome o email</t>
  </si>
  <si>
    <t>DELETE</t>
  </si>
  <si>
    <t>/api/AuthenticationUser/delete-user/{id}</t>
  </si>
  <si>
    <t>DeleteUser</t>
  </si>
  <si>
    <t>Elimina un utente senza prenotazioni</t>
  </si>
  <si>
    <t>/api/AuthenticationUser/assign-role</t>
  </si>
  <si>
    <t>AssignRole</t>
  </si>
  <si>
    <t>Dà un ruolo</t>
  </si>
  <si>
    <t>/api/AuthenticationUser/remove-role</t>
  </si>
  <si>
    <t>RemoveRole</t>
  </si>
  <si>
    <t>Toglie un ruolo (l'Admin non lo toglie a sé)</t>
  </si>
  <si>
    <t>/api/AuthenticationUser/reset-password/{id}</t>
  </si>
  <si>
    <t>ResetPassword</t>
  </si>
  <si>
    <t>L'Admin imposta una nuova password</t>
  </si>
  <si>
    <t>Setup</t>
  </si>
  <si>
    <t>/api/Setup/stato</t>
  </si>
  <si>
    <t>/api/Setup/admin</t>
  </si>
  <si>
    <t>CreaPrimoAdmin</t>
  </si>
  <si>
    <t>Crea il primo Admin, poi si chiude</t>
  </si>
  <si>
    <t>/api/Zona/get-all-zone</t>
  </si>
  <si>
    <t>Admin, Staff</t>
  </si>
  <si>
    <t>/api/Zona/get-zone-attive</t>
  </si>
  <si>
    <t>Admin, Staff, Cliente</t>
  </si>
  <si>
    <t>/api/Zona/get-zona/{id}</t>
  </si>
  <si>
    <t>GetZonaByIdAsync</t>
  </si>
  <si>
    <t>Legge una zona</t>
  </si>
  <si>
    <t>/api/Zona/is-zona-usata</t>
  </si>
  <si>
    <t>VerificaZonaUsataAsync</t>
  </si>
  <si>
    <t>/api/Zona/crea-zona</t>
  </si>
  <si>
    <t>CreateZonaAsync</t>
  </si>
  <si>
    <t>Crea una zona</t>
  </si>
  <si>
    <t>/api/Zona/update-zona</t>
  </si>
  <si>
    <t>UpdateZonaAsync</t>
  </si>
  <si>
    <t>Modifica una zona</t>
  </si>
  <si>
    <t>PATCH</t>
  </si>
  <si>
    <t>/api/Zona/update-stato/{id}</t>
  </si>
  <si>
    <t>Accende o spegne una zona</t>
  </si>
  <si>
    <t>/api/Zona/delete-zona/{id}</t>
  </si>
  <si>
    <t>DeleteZonaAsync</t>
  </si>
  <si>
    <t>Elimina una zona senza tavoli</t>
  </si>
  <si>
    <t>/api/Postazione/get-postazioni-attive</t>
  </si>
  <si>
    <t>GetAllPostazioniAttiveAsync</t>
  </si>
  <si>
    <t>/api/Postazione/get-postazioni-per-zona</t>
  </si>
  <si>
    <t>/api/Postazione/get-postazioni-disponibili</t>
  </si>
  <si>
    <t>Tavoli liberi in data e fascia</t>
  </si>
  <si>
    <t>/api/Postazione/get-postazione-id</t>
  </si>
  <si>
    <t>GetPostazioneByIdAsync</t>
  </si>
  <si>
    <t>/api/Postazione/riepilogo-sala</t>
  </si>
  <si>
    <t>GetRiepilogoSalaAsync</t>
  </si>
  <si>
    <t>Posti totali e confronto con i tetti</t>
  </si>
  <si>
    <t>/api/Postazione/crea-postazione</t>
  </si>
  <si>
    <t>CreatePostazioniAsync</t>
  </si>
  <si>
    <t>Crea un tavolo</t>
  </si>
  <si>
    <t>/api/Postazione/update-postazione</t>
  </si>
  <si>
    <t>UpdatePostazioneAsync</t>
  </si>
  <si>
    <t>Modifica un tavolo</t>
  </si>
  <si>
    <t>/api/Postazione/associa-postazione-a-zona</t>
  </si>
  <si>
    <t>AssociaPostazioneAZonaAsync</t>
  </si>
  <si>
    <t>Sposta un tavolo di zona</t>
  </si>
  <si>
    <t>/api/Postazione/delete-postazione</t>
  </si>
  <si>
    <t>DeletePostazioneAsync</t>
  </si>
  <si>
    <t>/api/FasceOrarie/get-all-fasce</t>
  </si>
  <si>
    <t>GetAllFasce</t>
  </si>
  <si>
    <t>/api/FasceOrarie/fasce-attive</t>
  </si>
  <si>
    <t>GetFasceAttive</t>
  </si>
  <si>
    <t>/api/FasceOrarie/fasce-per-giorno</t>
  </si>
  <si>
    <t>GetFasceByGiorno</t>
  </si>
  <si>
    <t>/api/FasceOrarie/fasce-disponibili</t>
  </si>
  <si>
    <t>VerificaDisponibilitaPerFascia</t>
  </si>
  <si>
    <t>/api/FasceOrarie/get-fascia-id/{id}</t>
  </si>
  <si>
    <t>GetFasciaOrariaByIdAsync</t>
  </si>
  <si>
    <t>/api/FasceOrarie/crea-fascia</t>
  </si>
  <si>
    <t>CreateFasciaOrariaAsync</t>
  </si>
  <si>
    <t>Crea una fascia</t>
  </si>
  <si>
    <t>/api/FasceOrarie/update-fascia</t>
  </si>
  <si>
    <t>UpdateFasciaOrariaAsync</t>
  </si>
  <si>
    <t>Modifica una fascia</t>
  </si>
  <si>
    <t>/api/FasceOrarie/update-stato/{id}</t>
  </si>
  <si>
    <t>UpdateStatoAsync</t>
  </si>
  <si>
    <t>Accende o spegne una fascia</t>
  </si>
  <si>
    <t>/api/FasceOrarie/delete-fascia</t>
  </si>
  <si>
    <t>DeleteFasciaAsync</t>
  </si>
  <si>
    <t>Elimina una fascia mai usata</t>
  </si>
  <si>
    <t>/api/Prenotazione/check-disponibilita</t>
  </si>
  <si>
    <t>CheckDisponibilita</t>
  </si>
  <si>
    <t>C'è posto? Usato anche dalla pagina pubblica</t>
  </si>
  <si>
    <t>/api/Prenotazione/crea-prenotazione</t>
  </si>
  <si>
    <t>CreatePrenotazioniAsync</t>
  </si>
  <si>
    <t>Crea una prenotazione e assegna i tavoli</t>
  </si>
  <si>
    <t>/api/Prenotazione/get-prenotazione</t>
  </si>
  <si>
    <t>GetById</t>
  </si>
  <si>
    <t>Legge una prenotazione (il Cliente solo le sue)</t>
  </si>
  <si>
    <t>/api/Prenotazione/get-all-prenotazioni</t>
  </si>
  <si>
    <t>GetAllPrenotazioni</t>
  </si>
  <si>
    <t>Elenco a pagine con filtri</t>
  </si>
  <si>
    <t>/api/Prenotazione/get-prenotazioni-by-data</t>
  </si>
  <si>
    <t>GetPrenotazioniByData</t>
  </si>
  <si>
    <t>/api/Prenotazione/get-mie-prenotazioni</t>
  </si>
  <si>
    <t>Cliente</t>
  </si>
  <si>
    <t>GetMiePrenotazioni</t>
  </si>
  <si>
    <t>Le prenotazioni del Cliente collegato</t>
  </si>
  <si>
    <t>/api/Prenotazione/update-prenotazione</t>
  </si>
  <si>
    <t>UpdatePrenotazione</t>
  </si>
  <si>
    <t>Modifica una prenotazione</t>
  </si>
  <si>
    <t>/api/Prenotazione/conferma-prenotazione</t>
  </si>
  <si>
    <t>ConfermaPrenotazione</t>
  </si>
  <si>
    <t>Il cliente è arrivato (solo nel giorno)</t>
  </si>
  <si>
    <t>/api/Prenotazione/completa-prenotazione</t>
  </si>
  <si>
    <t>CompletePrenotazione</t>
  </si>
  <si>
    <t>Chiude una prenotazione in corso</t>
  </si>
  <si>
    <t>/api/Prenotazione/annulla-prenotazione</t>
  </si>
  <si>
    <t>AnnullaPrenotazione</t>
  </si>
  <si>
    <t>Annulla, se la fascia non è finita</t>
  </si>
  <si>
    <t>/api/Prenotazione/delete-prenotazione</t>
  </si>
  <si>
    <t>DeletePrenotazione</t>
  </si>
  <si>
    <t>Elimina (solo se annullata)</t>
  </si>
  <si>
    <t>/api/Dashboard/giornaliera</t>
  </si>
  <si>
    <t>GetGiornaliera</t>
  </si>
  <si>
    <t>Numeri di un giorno</t>
  </si>
  <si>
    <t>/api/Dashboard/settimanale</t>
  </si>
  <si>
    <t>GetSettimanale</t>
  </si>
  <si>
    <t>Numeri di 7 giorni</t>
  </si>
  <si>
    <t>LogActivity</t>
  </si>
  <si>
    <t>/api/LogActivity/get-log</t>
  </si>
  <si>
    <t>GetLog</t>
  </si>
  <si>
    <t>Registro delle azioni con filtri</t>
  </si>
  <si>
    <t>/api/LogActivity/diagnostica-inoltro</t>
  </si>
  <si>
    <t>DiagnosticaInoltro</t>
  </si>
  <si>
    <t>Mostra come arriva l'IP di chi chiama</t>
  </si>
  <si>
    <t>Jobs</t>
  </si>
  <si>
    <t>/api/Jobs/trigger/{jobName}</t>
  </si>
  <si>
    <t>TriggerJobAsync</t>
  </si>
  <si>
    <t>Fa partire subito un job notturno</t>
  </si>
  <si>
    <t>(Program.cs)</t>
  </si>
  <si>
    <t>/health</t>
  </si>
  <si>
    <t>Controlla che API e database rispondano</t>
  </si>
  <si>
    <t>BE · METODI — COSA FA OGNI METODO</t>
  </si>
  <si>
    <t>Metodi dei servizi e dei componenti di supporto. Interno = usato solo dentro la sua classe. I metodi dei repository sono nel foglio BE · Repository.</t>
  </si>
  <si>
    <t>Classe</t>
  </si>
  <si>
    <t>Visibilità</t>
  </si>
  <si>
    <t>Chiamato da</t>
  </si>
  <si>
    <t>Crea la prenotazione e assegna i tavoli</t>
  </si>
  <si>
    <t>PrenotazioneController</t>
  </si>
  <si>
    <t>Modifica e riassegna i tavoli</t>
  </si>
  <si>
    <t>Elimina, solo se annullata</t>
  </si>
  <si>
    <t>GetMiePrenotazioniAsync</t>
  </si>
  <si>
    <t>Prenotazioni del Cliente collegato</t>
  </si>
  <si>
    <t>ConfermaPrenotazioneAsync</t>
  </si>
  <si>
    <t>Segna l'arrivo del cliente, solo nel giorno</t>
  </si>
  <si>
    <t>CompletePrenotazioneAsync</t>
  </si>
  <si>
    <t>AnnullaPrenotazioneAsync</t>
  </si>
  <si>
    <t>AutomaticCompletPrenotazioniAsync</t>
  </si>
  <si>
    <t>Di notte chiude le in corso e segna le non presentate</t>
  </si>
  <si>
    <t>PrenotazioniJob</t>
  </si>
  <si>
    <t>AutomaticDeletePrenotazioniAsync</t>
  </si>
  <si>
    <t>Di notte elimina le chiuse più vecchie di 6 mesi</t>
  </si>
  <si>
    <t>PrenotazioniCleanupJob</t>
  </si>
  <si>
    <t>ValidatePrenotazioneAsync</t>
  </si>
  <si>
    <t>Interno</t>
  </si>
  <si>
    <t>Controlla fascia, giorno e tetto dei coperti</t>
  </si>
  <si>
    <t>AddAsync, UpdateAsync</t>
  </si>
  <si>
    <t>GuardCutoffAsync</t>
  </si>
  <si>
    <t>Blocca le modifiche a una fascia già finita</t>
  </si>
  <si>
    <t>Update, Annulla</t>
  </si>
  <si>
    <t>GuardUnaPrenotazioneAlGiornoAsync</t>
  </si>
  <si>
    <t>Il Cliente ha al massimo una prenotazione al giorno</t>
  </si>
  <si>
    <t>IsSelfServiceCliente</t>
  </si>
  <si>
    <t>Dice se prenota il Cliente da solo</t>
  </si>
  <si>
    <t>Regole del Cliente</t>
  </si>
  <si>
    <t>AutomaticMarcaNonPresentateAsync</t>
  </si>
  <si>
    <t>Segna «Non presentata» chi non è arrivato</t>
  </si>
  <si>
    <t>ApplicaNumeroTurnoAsync</t>
  </si>
  <si>
    <t>Calcola il turno (1°, 2°…) della fascia nel giorno</t>
  </si>
  <si>
    <t>Letture delle prenotazioni</t>
  </si>
  <si>
    <t>CreaRigaPostazione</t>
  </si>
  <si>
    <t>Crea il legame prenotazione-tavolo</t>
  </si>
  <si>
    <t>LeggiConLockAsync</t>
  </si>
  <si>
    <t>Blocca e rilegge la prenotazione dentro la transazione</t>
  </si>
  <si>
    <t>Modifica e cambi di stato</t>
  </si>
  <si>
    <t>EseguiInTransazioneAsync</t>
  </si>
  <si>
    <t>Esegue tutto in transazione, riprovando se serve</t>
  </si>
  <si>
    <t>Scritture</t>
  </si>
  <si>
    <t>AssegnaPostazioneDisponibileAsync</t>
  </si>
  <si>
    <t>Sceglie i tavoli liberi migliori</t>
  </si>
  <si>
    <t>TrovaMigliorCombinazione</t>
  </si>
  <si>
    <t>Assegnazione, Disponibilità</t>
  </si>
  <si>
    <t>CalcolaCapienza</t>
  </si>
  <si>
    <t>Posti di un gruppo di tavoli (con bonus testate)</t>
  </si>
  <si>
    <t>DistribuisciCoperti</t>
  </si>
  <si>
    <t>Divide i coperti fra i tavoli scelti</t>
  </si>
  <si>
    <t>CheckDisponibilitaAsync</t>
  </si>
  <si>
    <t>Fasce con posto per una data e un numero di coperti</t>
  </si>
  <si>
    <t>Crea una fascia senza accavallamenti</t>
  </si>
  <si>
    <t>FasceOrarieController</t>
  </si>
  <si>
    <t>Modifica una fascia (orari bloccati se ha prenotazioni future)</t>
  </si>
  <si>
    <t>GetByIdAsync / GetFasciaOrariaDTOByIdAsync</t>
  </si>
  <si>
    <t>Fasce attive (da cache)</t>
  </si>
  <si>
    <t>Fasce di un giorno (da cache)</t>
  </si>
  <si>
    <t>FasceOrarieController, Prenotazioni</t>
  </si>
  <si>
    <t>VerificaDisponibilitaPerFasciaAsync</t>
  </si>
  <si>
    <t>Posti liberi in una fascia e data</t>
  </si>
  <si>
    <t>GuardSovrapposizioneAsync</t>
  </si>
  <si>
    <t>Blocca fasce che si accavallano nello stesso giorno</t>
  </si>
  <si>
    <t>ParseOrario</t>
  </si>
  <si>
    <t>Trasforma «HH:mm» in orario</t>
  </si>
  <si>
    <t>PostazioneController</t>
  </si>
  <si>
    <t>Modifica un tavolo, anche la casella Attiva</t>
  </si>
  <si>
    <t>Elimina un tavolo senza prenotazioni aperte</t>
  </si>
  <si>
    <t>Sposta un tavolo in un'altra zona</t>
  </si>
  <si>
    <t>GetPostazioneDTOByIdAsync</t>
  </si>
  <si>
    <t>Tavoli attivi (da cache)</t>
  </si>
  <si>
    <t>Posti totali confrontati con i tetti delle fasce</t>
  </si>
  <si>
    <t>ValidatePostazioneAsync</t>
  </si>
  <si>
    <t>Controlla numero unico e zona valida</t>
  </si>
  <si>
    <t>Crea una zona con nome unico</t>
  </si>
  <si>
    <t>ZonaController</t>
  </si>
  <si>
    <t>Tutte le zone (da cache)</t>
  </si>
  <si>
    <t>Zone attive (da cache)</t>
  </si>
  <si>
    <t>InvalidateZoneCache</t>
  </si>
  <si>
    <t>Svuota la cache delle zone dopo una modifica</t>
  </si>
  <si>
    <t>GetDashboardGiornalieroAsync</t>
  </si>
  <si>
    <t>Numeri del giorno: prenotazioni, coperti, tavoli</t>
  </si>
  <si>
    <t>DashboardController</t>
  </si>
  <si>
    <t>GetDashboardSettimanaleAsync</t>
  </si>
  <si>
    <t>Numeri di 7 giorni: coperti, annullate, non presentate</t>
  </si>
  <si>
    <t>LogAsync</t>
  </si>
  <si>
    <t>Registra un'azione con utente e IP</t>
  </si>
  <si>
    <t>Servizi e controller</t>
  </si>
  <si>
    <t>GetLogAsync</t>
  </si>
  <si>
    <t>Cerca nel registro con filtri</t>
  </si>
  <si>
    <t>LogActivityController</t>
  </si>
  <si>
    <t>GenerateToken</t>
  </si>
  <si>
    <t>Crea il token con Id, email, ruoli e security stamp</t>
  </si>
  <si>
    <t>Login, Setup</t>
  </si>
  <si>
    <t>NowInRome / TodayInRome</t>
  </si>
  <si>
    <t>Ora e data di oggi a Roma</t>
  </si>
  <si>
    <t>Servizi e validatori</t>
  </si>
  <si>
    <t>EseguiAsync</t>
  </si>
  <si>
    <t>Esegue un blocco in transazione con nuovi tentativi</t>
  </si>
  <si>
    <t>Servizi</t>
  </si>
  <si>
    <t>Ottieni</t>
  </si>
  <si>
    <t>Registro, limite login</t>
  </si>
  <si>
    <t>DbExceptionTranslator</t>
  </si>
  <si>
    <t>IsUniqueViolation</t>
  </si>
  <si>
    <t>Riconosce un doppione rifiutato dal database</t>
  </si>
  <si>
    <t>BE · VALIDATORI — I CONTROLLI SUI DATI IN ARRIVO</t>
  </si>
  <si>
    <t>FluentValidation: se un controllo fallisce l'API risponde 400 con il messaggio in italiano. Cartella GestoraWebApi/Validators.</t>
  </si>
  <si>
    <t>Validatore</t>
  </si>
  <si>
    <t>Controlla</t>
  </si>
  <si>
    <t>Regole principali</t>
  </si>
  <si>
    <t>ZonaDTOValidator</t>
  </si>
  <si>
    <t>Nome obbligatorio, max 100 caratteri</t>
  </si>
  <si>
    <t>PostazioneDTOValidator</t>
  </si>
  <si>
    <t>Numero, capienza e zona maggiori di zero</t>
  </si>
  <si>
    <t>PostazioneUpdateDTOValidator</t>
  </si>
  <si>
    <t>Id, numero, capienza e zona maggiori di zero</t>
  </si>
  <si>
    <t>FasciaOrariaDTOValidator</t>
  </si>
  <si>
    <t>Orari «HH:mm» validi, fine dopo l'inizio (max 23:59), tetto &gt; 0, giorno 0-6</t>
  </si>
  <si>
    <t>PrenotazioneCreateDTOValidator</t>
  </si>
  <si>
    <t>Coperti da 1 a 50, data fra oggi e un anno, fascia valida, note max 500</t>
  </si>
  <si>
    <t>CheckDisponibilitaDTOValidator</t>
  </si>
  <si>
    <t>Coperti da 1 a 50, data fra oggi e un anno</t>
  </si>
  <si>
    <t>RegisterDTOValidator</t>
  </si>
  <si>
    <t>Nome 3-50 caratteri, email valida, password min 8 con maiuscola, numero e simbolo</t>
  </si>
  <si>
    <t>UpdateUserDTOValidator</t>
  </si>
  <si>
    <t>Se presenti: nome 3-50 caratteri, email valida</t>
  </si>
  <si>
    <t>AdminResetPasswordDTOValidator</t>
  </si>
  <si>
    <t>Password min 8 con maiuscola, numero e simbolo</t>
  </si>
  <si>
    <t>BE · INFRASTRUTTURA — CONFIGURAZIONE, ERRORI, AVVIO</t>
  </si>
  <si>
    <t>Quello che non è logica di prenotazione ma fa funzionare l'API: Program.cs, Infrastructure, Extensions, Development.</t>
  </si>
  <si>
    <t>Componente</t>
  </si>
  <si>
    <t>ExceptionMiddleware</t>
  </si>
  <si>
    <t>Middleware</t>
  </si>
  <si>
    <t>Trasforma ogni errore in una risposta JSON chiara</t>
  </si>
  <si>
    <t>NotFoundException</t>
  </si>
  <si>
    <t>Eccezione</t>
  </si>
  <si>
    <t>→ 404: elemento non trovato</t>
  </si>
  <si>
    <t>ValidationException / ArgumentException</t>
  </si>
  <si>
    <t>→ 400: dati non validi</t>
  </si>
  <si>
    <t>UnauthorizedAccessException</t>
  </si>
  <si>
    <t>→ 401: non autenticato</t>
  </si>
  <si>
    <t>ForbiddenException</t>
  </si>
  <si>
    <t>→ 403: operazione non permessa</t>
  </si>
  <si>
    <t>ConflictException</t>
  </si>
  <si>
    <t>→ 409: conflitto (es. doppione, tetto pieno)</t>
  </si>
  <si>
    <t>Qualsiasi altro errore</t>
  </si>
  <si>
    <t>→ 500: errore interno</t>
  </si>
  <si>
    <t>Riconosce i doppioni rifiutati dal database</t>
  </si>
  <si>
    <t>IdentityErrorDescriberItaliano</t>
  </si>
  <si>
    <t>Messaggi di Identity in italiano</t>
  </si>
  <si>
    <t>AuthenticationExtensions</t>
  </si>
  <si>
    <t>Estensione</t>
  </si>
  <si>
    <t>Configura Identity, JWT e il controllo del security stamp</t>
  </si>
  <si>
    <t>SwaggerSetup</t>
  </si>
  <si>
    <t>Pagina Swagger, solo in sviluppo</t>
  </si>
  <si>
    <t>ApiBehaviorExtensions</t>
  </si>
  <si>
    <t>Errori di validazione tutti nello stesso formato</t>
  </si>
  <si>
    <t>ClaimsPrincipal / HttpContext extensions</t>
  </si>
  <si>
    <t>Leggono Id utente e IP dalla richiesta</t>
  </si>
  <si>
    <t>TimeSpanToStringConverter</t>
  </si>
  <si>
    <t>Orari come «HH:mm» nel JSON</t>
  </si>
  <si>
    <t>Controlli all'avvio</t>
  </si>
  <si>
    <t>Configurazione</t>
  </si>
  <si>
    <t>L'app non parte senza stringa di connessione o con un segreto JWT corto</t>
  </si>
  <si>
    <t>Database</t>
  </si>
  <si>
    <t>PostgreSQL con 5 nuovi tentativi se la connessione cade</t>
  </si>
  <si>
    <t>Log (Serilog)</t>
  </si>
  <si>
    <t>Log in console, e anche su file in sviluppo</t>
  </si>
  <si>
    <t>Health check /health</t>
  </si>
  <si>
    <t>Controlla anche il database</t>
  </si>
  <si>
    <t>Cache in memoria</t>
  </si>
  <si>
    <t>Zone, tavoli e fasce restano in memoria 30 minuti</t>
  </si>
  <si>
    <t>CORS (FrontendPolicy)</t>
  </si>
  <si>
    <t>Accetta chiamate solo dalle origini in AllowedOrigins</t>
  </si>
  <si>
    <t>Ordine delle richieste</t>
  </si>
  <si>
    <t>Errori → CORS → autenticazione → autorizzazione → limite frequenza</t>
  </si>
  <si>
    <t>RoleSeeder</t>
  </si>
  <si>
    <t>All'avvio crea i ruoli Admin, Staff, Cliente se mancano</t>
  </si>
  <si>
    <t>Migration in sospeso</t>
  </si>
  <si>
    <t>All'avvio avvisa nel log, non le applica da sola</t>
  </si>
  <si>
    <t>--seed-sviluppo</t>
  </si>
  <si>
    <t>Riga di comando</t>
  </si>
  <si>
    <t>Solo in sviluppo: riempie il database locale con dati di prova</t>
  </si>
  <si>
    <t>--stato-incoerente</t>
  </si>
  <si>
    <t>Insieme al seed: aggiunge dati volutamente sbagliati per le prove</t>
  </si>
  <si>
    <t>--reimposta-password &lt;email&gt; &lt;password&gt;</t>
  </si>
  <si>
    <t>Solo in sviluppo: cambia la password di un utente</t>
  </si>
  <si>
    <t>Scripts/quartz_postgres.sql</t>
  </si>
  <si>
    <t>Crea le tabelle di Quartz (vanno create a mano)</t>
  </si>
  <si>
    <t>Dockerfile</t>
  </si>
  <si>
    <t>Immagine del backend, gira senza utente root</t>
  </si>
  <si>
    <t>ci-backend.yml</t>
  </si>
  <si>
    <t>GitHub Actions: build e test a ogni push</t>
  </si>
  <si>
    <t>docker-publish.yml</t>
  </si>
  <si>
    <t>Test, poi immagine su Docker Hub → Azure</t>
  </si>
  <si>
    <t>BE · TEST — xUnit + Moq</t>
  </si>
  <si>
    <t>N. test conta anche i casi delle [Theory]. Si lanciano dalla radice con: dotnet test Gestora.sln. Cartella GestoraWebApi.Tests.</t>
  </si>
  <si>
    <t>Totale test:</t>
  </si>
  <si>
    <t>Classe di test</t>
  </si>
  <si>
    <t>Cosa prova</t>
  </si>
  <si>
    <t>Tecnica</t>
  </si>
  <si>
    <t>N. test</t>
  </si>
  <si>
    <t>PrenotazioniServiceTests</t>
  </si>
  <si>
    <t>Database finto + Moq</t>
  </si>
  <si>
    <t>Il blocco più grande: tetto, stati, regole, job</t>
  </si>
  <si>
    <t>DashboardServiceTests</t>
  </si>
  <si>
    <t>Database finto</t>
  </si>
  <si>
    <t>FasciaOrariaServiceTests</t>
  </si>
  <si>
    <t>Moq</t>
  </si>
  <si>
    <t>Accavallamenti e blocco degli orari</t>
  </si>
  <si>
    <t>AssegnazioneTavoliTests</t>
  </si>
  <si>
    <t>Puro (senza dipendenze)</t>
  </si>
  <si>
    <t>Scelta dei tavoli e bonus testate</t>
  </si>
  <si>
    <t>PostazioneAssignmentServiceTests</t>
  </si>
  <si>
    <t>IndirizzoClientTests</t>
  </si>
  <si>
    <t>Puro</t>
  </si>
  <si>
    <t>Lettura dell'IP da X-Forwarded-For</t>
  </si>
  <si>
    <t>DisponibilitaServiceTests</t>
  </si>
  <si>
    <t>PostazioneServiceTests</t>
  </si>
  <si>
    <t>LogActivityServiceTests</t>
  </si>
  <si>
    <t>PrenotazioniQueryParamsTests</t>
  </si>
  <si>
    <t>Pagine e filtri</t>
  </si>
  <si>
    <t>CheckDisponibilitaDTOValidatorTests</t>
  </si>
  <si>
    <t>PrenotazioneCreateDTOValidatorTests</t>
  </si>
  <si>
    <t>RegisterDTOValidatorTests</t>
  </si>
  <si>
    <t>RegisterDTO e UpdateUserDTO</t>
  </si>
  <si>
    <t>Nomi con spazi, apostrofi, accenti</t>
  </si>
  <si>
    <t>FasciaOrariaDTOValidatorTests</t>
  </si>
  <si>
    <t>Fasce oltre la mezzanotte</t>
  </si>
  <si>
    <t>ZonaServiceTests</t>
  </si>
  <si>
    <t>DbExceptionTranslatorTests</t>
  </si>
  <si>
    <t>JobsNotturniTests</t>
  </si>
  <si>
    <t>PrenotazioniJob, PrenotazioniCleanupJob</t>
  </si>
  <si>
    <t>GestoraContextModelTests</t>
  </si>
  <si>
    <t>Configurazione delle tabelle</t>
  </si>
  <si>
    <t>PrenotazioniRepositoryTests</t>
  </si>
  <si>
    <t>PrenotazioneMappingProfileTests</t>
  </si>
  <si>
    <t>PrenotazioneMappingProfile</t>
  </si>
  <si>
    <t>AutoMapper vero</t>
  </si>
  <si>
    <t>PostazioneMappingProfileTests</t>
  </si>
  <si>
    <t>PostazioneMappingProfile</t>
  </si>
  <si>
    <t>ErroriIdentityTests</t>
  </si>
  <si>
    <t>ErroriIdentity</t>
  </si>
  <si>
    <t>BE · AUTENTICAZIONE E SICUREZZA</t>
  </si>
  <si>
    <t>Mai scrivere qui valori segreti: solo i nomi delle chiavi. Procedura User Secrets in RUNBOOK.md §7.</t>
  </si>
  <si>
    <t>Sezione</t>
  </si>
  <si>
    <t>Voce</t>
  </si>
  <si>
    <t>Come funziona</t>
  </si>
  <si>
    <t>JWT</t>
  </si>
  <si>
    <t>Chiavi di configurazione</t>
  </si>
  <si>
    <t>JwtSettings: Secret, Issuer, Audience, ExpiryMinutes</t>
  </si>
  <si>
    <t>Dove sta il segreto</t>
  </si>
  <si>
    <t>Locale: User Secrets. Produzione: variabili d'ambiente di Azure. Mai nel codice</t>
  </si>
  <si>
    <t>Lunghezza minima</t>
  </si>
  <si>
    <t>Almeno 32 byte, altrimenti l'app non parte</t>
  </si>
  <si>
    <t>Durata</t>
  </si>
  <si>
    <t>60 minuti, senza margine di tolleranza</t>
  </si>
  <si>
    <t>Contenuto</t>
  </si>
  <si>
    <t>Id utente, email, ruoli, security stamp</t>
  </si>
  <si>
    <t>Controlli</t>
  </si>
  <si>
    <t>Chi l'ha emesso, per chi, scadenza e firma</t>
  </si>
  <si>
    <t>Configura sala e fasce, gestisce utenti, forza i job</t>
  </si>
  <si>
    <t>Staff</t>
  </si>
  <si>
    <t>Prenotazioni e dashboard</t>
  </si>
  <si>
    <t>Solo le proprie prenotazioni</t>
  </si>
  <si>
    <t>Più ruoli insieme</t>
  </si>
  <si>
    <t>Normale, non è un errore</t>
  </si>
  <si>
    <t>Admin protetto</t>
  </si>
  <si>
    <t>Un Admin non può togliersi il ruolo Admin: ne resta sempre almeno uno</t>
  </si>
  <si>
    <t>Account</t>
  </si>
  <si>
    <t>Password</t>
  </si>
  <si>
    <t>Almeno 8 caratteri con maiuscola, numero e simbolo</t>
  </si>
  <si>
    <t>Email unica</t>
  </si>
  <si>
    <t>Due utenti non possono avere la stessa email</t>
  </si>
  <si>
    <t>Nome utente</t>
  </si>
  <si>
    <t>Ammessi spazi, apostrofi e lettere accentate</t>
  </si>
  <si>
    <t>Blocco</t>
  </si>
  <si>
    <t>5 tentativi sbagliati → account bloccato 15 minuti</t>
  </si>
  <si>
    <t>Registrazione pubblica</t>
  </si>
  <si>
    <t>Crea solo utenti Cliente</t>
  </si>
  <si>
    <t>Utente con prenotazioni</t>
  </si>
  <si>
    <t>Non si elimina: lo storico resta</t>
  </si>
  <si>
    <t>Sessione</t>
  </si>
  <si>
    <t>Security stamp</t>
  </si>
  <si>
    <t>Cambio ruolo, email, password o eliminazione invalidano subito i token</t>
  </si>
  <si>
    <t>GET /api/Setup/stato</t>
  </si>
  <si>
    <t>POST /api/Setup/admin</t>
  </si>
  <si>
    <t>Crea il primo Admin, una richiesta alla volta, poi si chiude per sempre</t>
  </si>
  <si>
    <t>Protezioni</t>
  </si>
  <si>
    <t>Limite di frequenza</t>
  </si>
  <si>
    <t>Login e setup: 5 richieste al minuto per IP, poi 429</t>
  </si>
  <si>
    <t>CORS</t>
  </si>
  <si>
    <t>Solo il frontend nelle origini ammesse può chiamare l'API</t>
  </si>
  <si>
    <t>Registro azioni</t>
  </si>
  <si>
    <t>Le azioni importanti finiscono in LogActivities con utente e IP</t>
  </si>
  <si>
    <t>Container</t>
  </si>
  <si>
    <t>Docker gira senza utente root</t>
  </si>
  <si>
    <t>Libreria con avviso</t>
  </si>
  <si>
    <t>AutoMapper 12.0.1: avviso accettato, non si aggiorna (SEC-001)</t>
  </si>
  <si>
    <t>BE · JOB NOTTURNI — QUARTZ.NET</t>
  </si>
  <si>
    <t>Ora di Roma, mai due esecuzioni insieme, stato salvato nelle tabelle QRTZ_. Su Azure F1 partono al primo accesso del giorno (serve «Always On»).</t>
  </si>
  <si>
    <t>Job</t>
  </si>
  <si>
    <t>Quando</t>
  </si>
  <si>
    <t>Cron</t>
  </si>
  <si>
    <t>Metodo chiamato</t>
  </si>
  <si>
    <t>Come forzarlo (Admin)</t>
  </si>
  <si>
    <t>Ogni notte alle 02:00</t>
  </si>
  <si>
    <t>0 00 2 * * ?</t>
  </si>
  <si>
    <t>Chiude le prenotazioni in corso finite e segna «Non presentata» chi non è arrivato</t>
  </si>
  <si>
    <t>POST /api/Jobs/trigger/PrenotazioniJob</t>
  </si>
  <si>
    <t>Ogni notte alle 02:30</t>
  </si>
  <si>
    <t>0 30 2 * * ?</t>
  </si>
  <si>
    <t>Elimina le prenotazioni chiuse più vecchie di 6 mesi</t>
  </si>
  <si>
    <t>POST /api/Jobs/trigger/PrenotazioniCleanupJob</t>
  </si>
  <si>
    <t>BE · MIGRATION — MODIFICHE AL DATABASE</t>
  </si>
  <si>
    <t>Si applicano A MANO, dall'alto in basso (RUNBOOK.md). Le tabelle QRTZ_ di Quartz non sono in nessuna migration: dopo un reset va eseguito Scripts/quartz_postgres.sql.</t>
  </si>
  <si>
    <t>N.</t>
  </si>
  <si>
    <t>Nome migration</t>
  </si>
  <si>
    <t>Data</t>
  </si>
  <si>
    <t>Cosa cambia</t>
  </si>
  <si>
    <t>Locale</t>
  </si>
  <si>
    <t>Produzione</t>
  </si>
  <si>
    <t>20251120171458_Initial</t>
  </si>
  <si>
    <t>Crea tutte le tabelle e quelle di Identity (Utenti, Ruoli)</t>
  </si>
  <si>
    <t>20260311090312_StatoAsEnum</t>
  </si>
  <si>
    <t>Nessuna modifica: vuota di proposito</t>
  </si>
  <si>
    <t>Non è un errore</t>
  </si>
  <si>
    <t>20260825141722_FilterIndicePrenotazioneEscludeAnnullata</t>
  </si>
  <si>
    <t>Indice sulle prenotazioni che ignora le annullate</t>
  </si>
  <si>
    <t>20260826133929_RimuoviVincoloIndiceAggiungiNomeCliente</t>
  </si>
  <si>
    <t>Aggiunge NomeCliente, toglie il vincolo una-al-giorno dal database</t>
  </si>
  <si>
    <t>Il vincolo resta nell'applicazione (decisione 10)</t>
  </si>
  <si>
    <t>20260831094313_RinominaMaxPrenotazioniInMaxCoperti</t>
  </si>
  <si>
    <t>Rinomina MaxPrenotazioni in MaxCoperti</t>
  </si>
  <si>
    <t>Da qui: usare sempre lo script generato</t>
  </si>
  <si>
    <t>20260902081401_AggiungiSlotPrenotazionePostazione</t>
  </si>
  <si>
    <t>Data e fascia sul legame tavolo-prenotazione + indice unico</t>
  </si>
  <si>
    <t>Un tavolo non si prenota due volte</t>
  </si>
  <si>
    <t>20260904141854_AuditLogIndiciEStoricoUtenteProtetto</t>
  </si>
  <si>
    <t>Indici sul registro; utente con prenotazioni non eliminabile</t>
  </si>
  <si>
    <t>FE · PAGINE — LE SCHERMATE E CHI LE VEDE</t>
  </si>
  <si>
    <t>Rotte in gestora-frontend/src/router/index.tsx. Le pagine riservate stanno dentro AppLayout (barra superiore).</t>
  </si>
  <si>
    <t>Pagina</t>
  </si>
  <si>
    <t>Chi la vede</t>
  </si>
  <si>
    <t>/</t>
  </si>
  <si>
    <t>LandingPage</t>
  </si>
  <si>
    <t>Tutti (chi è collegato va alla sua pagina)</t>
  </si>
  <si>
    <t>Presenta il locale e controlla se c'è posto</t>
  </si>
  <si>
    <t>/setup</t>
  </si>
  <si>
    <t>SetupPage</t>
  </si>
  <si>
    <t>Tutti, solo finché non c'è un Admin</t>
  </si>
  <si>
    <t>Crea il primo Admin</t>
  </si>
  <si>
    <t>/login</t>
  </si>
  <si>
    <t>LoginPage</t>
  </si>
  <si>
    <t>Tutti</t>
  </si>
  <si>
    <t>Accesso</t>
  </si>
  <si>
    <t>/register</t>
  </si>
  <si>
    <t>RegisterPage</t>
  </si>
  <si>
    <t>Registrazione come Cliente</t>
  </si>
  <si>
    <t>/dashboard</t>
  </si>
  <si>
    <t>DashboardPage</t>
  </si>
  <si>
    <t>Numeri del giorno e della settimana</t>
  </si>
  <si>
    <t>/zone</t>
  </si>
  <si>
    <t>ZonePage</t>
  </si>
  <si>
    <t>Elenco e gestione delle zone</t>
  </si>
  <si>
    <t>/postazioni</t>
  </si>
  <si>
    <t>PostazionePage</t>
  </si>
  <si>
    <t>Tavoli e riepilogo della sala</t>
  </si>
  <si>
    <t>/fasce-orarie</t>
  </si>
  <si>
    <t>FasciaOrariaPage</t>
  </si>
  <si>
    <t>Fasce orarie e tetti dei coperti</t>
  </si>
  <si>
    <t>/prenotazioni</t>
  </si>
  <si>
    <t>PrenotazionePage</t>
  </si>
  <si>
    <t>Prenotazioni: elenco, filtri, azioni</t>
  </si>
  <si>
    <t>/admin-utenti</t>
  </si>
  <si>
    <t>AdminUtentiPage</t>
  </si>
  <si>
    <t>Utenti, ruoli e password</t>
  </si>
  <si>
    <t>/unauthorized</t>
  </si>
  <si>
    <t>UnauthorizedPage</t>
  </si>
  <si>
    <t>Avviso: pagina non permessa</t>
  </si>
  <si>
    <t>*</t>
  </si>
  <si>
    <t>NotFoundPage</t>
  </si>
  <si>
    <t>Pagina non trovata</t>
  </si>
  <si>
    <t>FE · COMPONENTI — I PEZZI DELLE SCHERMATE</t>
  </si>
  <si>
    <t>Cartella gestora-frontend/src/components (struttura piatta, i componenti base in ui/).</t>
  </si>
  <si>
    <t>Usato in</t>
  </si>
  <si>
    <t>ZonaModal</t>
  </si>
  <si>
    <t>Finestra</t>
  </si>
  <si>
    <t>Crea o modifica una zona</t>
  </si>
  <si>
    <t>PostazioneModal</t>
  </si>
  <si>
    <t>Crea o modifica un tavolo</t>
  </si>
  <si>
    <t>FasciaOrariaModal</t>
  </si>
  <si>
    <t>Crea o modifica una fascia</t>
  </si>
  <si>
    <t>PrenotazioneModal</t>
  </si>
  <si>
    <t>Crea o modifica una prenotazione</t>
  </si>
  <si>
    <t>NotaPrenotazioneDialog</t>
  </si>
  <si>
    <t>Mostra la nota di una prenotazione</t>
  </si>
  <si>
    <t>CreateUserModal</t>
  </si>
  <si>
    <t>Crea un utente con ruolo</t>
  </si>
  <si>
    <t>EditUserModal</t>
  </si>
  <si>
    <t>GestisciRuoliModal</t>
  </si>
  <si>
    <t>Dà o toglie ruoli</t>
  </si>
  <si>
    <t>ResetPasswordModal</t>
  </si>
  <si>
    <t>Imposta una nuova password</t>
  </si>
  <si>
    <t>ConfirmDialog</t>
  </si>
  <si>
    <t>Chiede conferma prima di un'azione</t>
  </si>
  <si>
    <t>Più pagine</t>
  </si>
  <si>
    <t>AppLayout</t>
  </si>
  <si>
    <t>Struttura</t>
  </si>
  <si>
    <t>Barra superiore con menu per ruolo</t>
  </si>
  <si>
    <t>Pagine riservate</t>
  </si>
  <si>
    <t>IntestazionePagina</t>
  </si>
  <si>
    <t>Condiviso</t>
  </si>
  <si>
    <t>Titolo e pulsanti in cima alla pagina</t>
  </si>
  <si>
    <t>AzioniRiga</t>
  </si>
  <si>
    <t>Pulsanti modifica/elimina di una riga</t>
  </si>
  <si>
    <t>Tabelle</t>
  </si>
  <si>
    <t>AzioniPrenotazione</t>
  </si>
  <si>
    <t>Conferma/annulla/completa, solo quando permesso</t>
  </si>
  <si>
    <t>BandaCoperti</t>
  </si>
  <si>
    <t>Barra dei coperti usati sul tetto</t>
  </si>
  <si>
    <t>Dashboard, Prenotazioni</t>
  </si>
  <si>
    <t>StatoBadge</t>
  </si>
  <si>
    <t>Etichetta colorata dello stato</t>
  </si>
  <si>
    <t>StatoAttivo</t>
  </si>
  <si>
    <t>Etichetta Attivo / Spento</t>
  </si>
  <si>
    <t>Zone, tavoli, fasce</t>
  </si>
  <si>
    <t>Paginazione</t>
  </si>
  <si>
    <t>Pulsanti di pagina</t>
  </si>
  <si>
    <t>PageState</t>
  </si>
  <si>
    <t>Caricamento, errore o vuoto</t>
  </si>
  <si>
    <t>EmptyState</t>
  </si>
  <si>
    <t>Messaggio quando non ci sono dati</t>
  </si>
  <si>
    <t>ErrorScreen / SchermataMessaggio</t>
  </si>
  <si>
    <t>Schermata di errore o avviso</t>
  </si>
  <si>
    <t>Pagine di errore</t>
  </si>
  <si>
    <t>ErrorBoundary</t>
  </si>
  <si>
    <t>Evita la pagina bianca se un componente si rompe</t>
  </si>
  <si>
    <t>App</t>
  </si>
  <si>
    <t>ConfigurazioneMancante</t>
  </si>
  <si>
    <t>Avviso se manca l'indirizzo dell'API</t>
  </si>
  <si>
    <t>ThemeToggle</t>
  </si>
  <si>
    <t>Cambia tema chiaro/scuro</t>
  </si>
  <si>
    <t>Barra superiore</t>
  </si>
  <si>
    <t>Logo</t>
  </si>
  <si>
    <t>Logo Gestora</t>
  </si>
  <si>
    <t>Barra, landing</t>
  </si>
  <si>
    <t>DevtoolsQuery</t>
  </si>
  <si>
    <t>Strumenti di TanStack Query, solo in sviluppo</t>
  </si>
  <si>
    <t>VerificaDisponibilita</t>
  </si>
  <si>
    <t>Modulo pubblico «c'è posto?»</t>
  </si>
  <si>
    <t>ui/ (shadcn)</t>
  </si>
  <si>
    <t>UI base</t>
  </si>
  <si>
    <t>Pulsanti, tabelle, finestre, campi, menu, etichette</t>
  </si>
  <si>
    <t>Tutti i componenti</t>
  </si>
  <si>
    <t>FE · HOOK E CHIAMATE ALL'API</t>
  </si>
  <si>
    <t>Ogni hook usa TanStack Query e chiama l'API con apiClient (src/lib/axios.ts). Indirizzi in src/lib/endpoints.ts, base /api.</t>
  </si>
  <si>
    <t>Hook</t>
  </si>
  <si>
    <t>Endpoint</t>
  </si>
  <si>
    <t>useZone</t>
  </si>
  <si>
    <t>Zona/get-all-zone</t>
  </si>
  <si>
    <t>useZone.ts</t>
  </si>
  <si>
    <t>useZoneAttive</t>
  </si>
  <si>
    <t>Zona/get-zone-attive</t>
  </si>
  <si>
    <t>Zone attive</t>
  </si>
  <si>
    <t>useCreaZona</t>
  </si>
  <si>
    <t>Zona/crea-zona</t>
  </si>
  <si>
    <t>useUpdateZona</t>
  </si>
  <si>
    <t>Zona/update-zona</t>
  </si>
  <si>
    <t>useDeleteZona</t>
  </si>
  <si>
    <t>Zona/delete-zona/{id}</t>
  </si>
  <si>
    <t>Elimina una zona</t>
  </si>
  <si>
    <t>usePostazioni</t>
  </si>
  <si>
    <t>Postazione/get-postazioni-per-zona</t>
  </si>
  <si>
    <t>usePostazioni.ts</t>
  </si>
  <si>
    <t>useRiepilogoSala</t>
  </si>
  <si>
    <t>Postazione/riepilogo-sala</t>
  </si>
  <si>
    <t>Riepilogo della sala</t>
  </si>
  <si>
    <t>useCreaPostazione</t>
  </si>
  <si>
    <t>Postazione/crea-postazione</t>
  </si>
  <si>
    <t>useUpdatePostazione</t>
  </si>
  <si>
    <t>Postazione/update-postazione</t>
  </si>
  <si>
    <t>useDeletePostazione</t>
  </si>
  <si>
    <t>Postazione/delete-postazione</t>
  </si>
  <si>
    <t>useFasceOrarie</t>
  </si>
  <si>
    <t>FasceOrarie/fasce-attive</t>
  </si>
  <si>
    <t>Fasce attive</t>
  </si>
  <si>
    <t>useFasceOrarie.ts</t>
  </si>
  <si>
    <t>useAllFasceOrarie</t>
  </si>
  <si>
    <t>FasceOrarie/get-all-fasce</t>
  </si>
  <si>
    <t>useFascePerGiorno</t>
  </si>
  <si>
    <t>FasceOrarie/fasce-per-giorno</t>
  </si>
  <si>
    <t>useCreaFasciaOraria</t>
  </si>
  <si>
    <t>FasceOrarie/crea-fascia</t>
  </si>
  <si>
    <t>useUpdateFasciaOraria</t>
  </si>
  <si>
    <t>FasceOrarie/update-fascia</t>
  </si>
  <si>
    <t>useDeleteFasciaOraria</t>
  </si>
  <si>
    <t>FasceOrarie/delete-fascia</t>
  </si>
  <si>
    <t>usePrenotazioni</t>
  </si>
  <si>
    <t>Prenotazione/get-all-prenotazioni o get-mie-prenotazioni</t>
  </si>
  <si>
    <t>Elenco (il Cliente vede solo le sue)</t>
  </si>
  <si>
    <t>usePrenotazioni.ts</t>
  </si>
  <si>
    <t>useCreaPrenotazione</t>
  </si>
  <si>
    <t>Prenotazione/crea-prenotazione</t>
  </si>
  <si>
    <t>Crea una prenotazione</t>
  </si>
  <si>
    <t>useModificaPrenotazione</t>
  </si>
  <si>
    <t>Prenotazione/update-prenotazione</t>
  </si>
  <si>
    <t>useConfermaPrenotazione</t>
  </si>
  <si>
    <t>Prenotazione/conferma-prenotazione</t>
  </si>
  <si>
    <t>Cliente arrivato</t>
  </si>
  <si>
    <t>useCompletaPrenotazione</t>
  </si>
  <si>
    <t>Prenotazione/completa-prenotazione</t>
  </si>
  <si>
    <t>Chiude la prenotazione</t>
  </si>
  <si>
    <t>useAnnullaPrenotazione</t>
  </si>
  <si>
    <t>Prenotazione/annulla-prenotazione</t>
  </si>
  <si>
    <t>Annulla la prenotazione</t>
  </si>
  <si>
    <t>useDeletePrenotazione</t>
  </si>
  <si>
    <t>Prenotazione/delete-prenotazione</t>
  </si>
  <si>
    <t>Elimina un'annullata</t>
  </si>
  <si>
    <t>useCheckDisponibilita</t>
  </si>
  <si>
    <t>Prenotazione/check-disponibilita</t>
  </si>
  <si>
    <t>C'è posto? (anche senza login)</t>
  </si>
  <si>
    <t>useDisponibilita.ts</t>
  </si>
  <si>
    <t>useDashboardGiornaliera</t>
  </si>
  <si>
    <t>Dashboard/giornaliera</t>
  </si>
  <si>
    <t>useDashboard.ts</t>
  </si>
  <si>
    <t>useDashboardSettimanale</t>
  </si>
  <si>
    <t>Dashboard/settimanale</t>
  </si>
  <si>
    <t>useUtenti</t>
  </si>
  <si>
    <t>AuthenticationUser/get-users</t>
  </si>
  <si>
    <t>Elenco utenti</t>
  </si>
  <si>
    <t>useAdminUtenti.ts</t>
  </si>
  <si>
    <t>useCreateUser</t>
  </si>
  <si>
    <t>register + get-users + assign-role</t>
  </si>
  <si>
    <t>Crea utente e gli dà il ruolo (3 chiamate)</t>
  </si>
  <si>
    <t>useUpdateUser</t>
  </si>
  <si>
    <t>AuthenticationUser/update-user/{id}</t>
  </si>
  <si>
    <t>Modifica un utente</t>
  </si>
  <si>
    <t>useDeleteUser</t>
  </si>
  <si>
    <t>AuthenticationUser/delete-user/{id}</t>
  </si>
  <si>
    <t>Elimina un utente</t>
  </si>
  <si>
    <t>useAssignRole</t>
  </si>
  <si>
    <t>AuthenticationUser/assign-role</t>
  </si>
  <si>
    <t>useRemoveRole</t>
  </si>
  <si>
    <t>AuthenticationUser/remove-role</t>
  </si>
  <si>
    <t>Toglie un ruolo</t>
  </si>
  <si>
    <t>useResetPassword</t>
  </si>
  <si>
    <t>AuthenticationUser/reset-password/{id}</t>
  </si>
  <si>
    <t>Nuova password</t>
  </si>
  <si>
    <t>useSetupStato</t>
  </si>
  <si>
    <t>Setup/stato</t>
  </si>
  <si>
    <t>Esiste già un Admin?</t>
  </si>
  <si>
    <t>useSetup.ts</t>
  </si>
  <si>
    <t>useCreaPrimoAdmin</t>
  </si>
  <si>
    <t>Setup/admin</t>
  </si>
  <si>
    <t>(chiamata diretta)</t>
  </si>
  <si>
    <t>AuthenticationUser/login</t>
  </si>
  <si>
    <t>LoginPage / RegisterPage</t>
  </si>
  <si>
    <t>AuthenticationUser/register</t>
  </si>
  <si>
    <t>Registrazione</t>
  </si>
  <si>
    <t>useAuth</t>
  </si>
  <si>
    <t>Altro</t>
  </si>
  <si>
    <t>Utente collegato, ruoli, login e logout</t>
  </si>
  <si>
    <t>useAuth.ts / useTheme.ts</t>
  </si>
  <si>
    <t>useTheme</t>
  </si>
  <si>
    <t>Tema chiaro o scuro</t>
  </si>
  <si>
    <t>FE · ACCESSO E PERMESSI NEL FRONTEND</t>
  </si>
  <si>
    <t>Il frontend nasconde e reindirizza; il vero controllo dei permessi lo fa sempre il backend.</t>
  </si>
  <si>
    <t>Token</t>
  </si>
  <si>
    <t>src/context/AuthContext.tsx</t>
  </si>
  <si>
    <t>Salvato in localStorage dopo il login, tolto al logout</t>
  </si>
  <si>
    <t>Lettura del token</t>
  </si>
  <si>
    <t>src/lib/jwt.ts</t>
  </si>
  <si>
    <t>Legge ruoli e scadenza dal token (senza verificarlo: lo fa il backend)</t>
  </si>
  <si>
    <t>Sempre trattati come elenco: un utente può averne più di uno</t>
  </si>
  <si>
    <t>Allegare il token</t>
  </si>
  <si>
    <t>src/lib/axios.ts</t>
  </si>
  <si>
    <t>Aggiunto a ogni chiamata, tranne login e registrazione</t>
  </si>
  <si>
    <t>Sessione scaduta</t>
  </si>
  <si>
    <t>src/lib/axios.ts + session.ts</t>
  </si>
  <si>
    <t>Su 401 toglie il token e mostra un solo avviso, poi porta al login</t>
  </si>
  <si>
    <t>src/router/ProtectedRoute.tsx</t>
  </si>
  <si>
    <t>Non collegato → /login; ruolo sbagliato → /unauthorized</t>
  </si>
  <si>
    <t>src/router/SetupGuard.tsx</t>
  </si>
  <si>
    <t>Se non c'è un Admin manda a /setup</t>
  </si>
  <si>
    <t>Già collegato</t>
  </si>
  <si>
    <t>src/router/RedirectSeAutenticato.tsx</t>
  </si>
  <si>
    <t>Da / o /login manda alla pagina giusta per il ruolo</t>
  </si>
  <si>
    <t>Pagina di casa</t>
  </si>
  <si>
    <t>src/lib/navigazione.ts</t>
  </si>
  <si>
    <t>Sceglie la pagina iniziale in base al ruolo</t>
  </si>
  <si>
    <t>Menu</t>
  </si>
  <si>
    <t>src/layouts/AppLayout.tsx</t>
  </si>
  <si>
    <t>Mostra solo le voci permesse al ruolo</t>
  </si>
  <si>
    <t>Nuovi tentativi</t>
  </si>
  <si>
    <t>src/lib/queryClient.ts</t>
  </si>
  <si>
    <t>Nessun nuovo tentativo su errori 4xx e sulle modifiche</t>
  </si>
  <si>
    <t>Pagina pubblica</t>
  </si>
  <si>
    <t>Senza token: chiama solo check-disponibilita</t>
  </si>
  <si>
    <t>Indirizzo API</t>
  </si>
  <si>
    <t>VITE_API_URL</t>
  </si>
  <si>
    <t>Locale da .env.local, produzione dal pannello Vercel (tipo Config)</t>
  </si>
  <si>
    <t>FE · TEST — Vitest + Testing Library</t>
  </si>
  <si>
    <t>Si lanciano da gestora-frontend con: npm test. I file stanno nelle cartelle __tests__.</t>
  </si>
  <si>
    <t>File di test</t>
  </si>
  <si>
    <t>AzioniPrenotazione.test.tsx</t>
  </si>
  <si>
    <t>Pulsanti delle prenotazioni: compaiono solo quando permessi</t>
  </si>
  <si>
    <t>apiError.test.ts</t>
  </si>
  <si>
    <t>Messaggi di errore leggibili dalle risposte dell'API</t>
  </si>
  <si>
    <t>jwt.test.ts</t>
  </si>
  <si>
    <t>Lettura del token e scadenza</t>
  </si>
  <si>
    <t>validazioni.test.ts</t>
  </si>
  <si>
    <t>Regole di password, nome utente, email, numeri</t>
  </si>
  <si>
    <t>ProtectedRoute.test.tsx</t>
  </si>
  <si>
    <t>Pagine riservate: login e ruoli</t>
  </si>
  <si>
    <t>PrenotazioneModal.fasce.test.tsx</t>
  </si>
  <si>
    <t>Fasce proposte nella finestra prenotazione</t>
  </si>
  <si>
    <t>navigazione.test.ts</t>
  </si>
  <si>
    <t>Pagina iniziale giusta per ogni ruolo</t>
  </si>
  <si>
    <t>PrenotazionePage.urlParams.test.tsx</t>
  </si>
  <si>
    <t>Filtri letti dall'indirizzo della pagina</t>
  </si>
  <si>
    <t>DashboardPage.dateNav.test.tsx</t>
  </si>
  <si>
    <t>Cambio di giorno nella dashboard</t>
  </si>
  <si>
    <t>APPUNTI E STEP</t>
  </si>
  <si>
    <t>Da compilare a mano: una riga per sessione o per passo. Area e Stato hanno il menu a tendina.</t>
  </si>
  <si>
    <t>Cosa si è fatto</t>
  </si>
  <si>
    <t>Prossimo passo</t>
  </si>
  <si>
    <t>Controllo regressioni sui 4 commit del 02/10: codice dell'app invariato, 292 test BE e 64 FE verdi, build come nel Dockerfile riuscita</t>
  </si>
  <si>
    <t>Al prossimo merge dev → main aprire Actions: job «test» verde con 292 test, poi «build-and-push» verde, poi /health su Azure</t>
  </si>
  <si>
    <t>Il workflow docker-publish è cambiato (test dalla radice) ma non è mai girato: parte solo su main</t>
  </si>
  <si>
    <t>.gitignore in radice sporco: blocco ripetuto due volte e una riga di testo finita per errore («- toglie il doppione di .vs/ e la riga di GestoraDocs.»)</t>
  </si>
  <si>
    <t>Togliere il blocco doppio e la riga sbagliata, poi commit «chore: .gitignore senza righe doppie»</t>
  </si>
  <si>
    <t>Non rompe niente. File delicato (regola 3): lo modifica Fabio o autorizza Claude</t>
  </si>
  <si>
    <t>BE</t>
  </si>
  <si>
    <t>Test spostati in GestoraWebApi.Tests/ e soluzione Gestora.sln in radice</t>
  </si>
  <si>
    <t>Aprire Gestora.sln in Visual Studio, Esplora test: devono risultare 292 test verdi</t>
  </si>
  <si>
    <t>Stato della CI non controllabile da Claude (gh non installato)</t>
  </si>
  <si>
    <t>Controllare su GitHub che CI Backend e CI Frontend siano verdi sull'ultimo commit di dev</t>
  </si>
  <si>
    <t>Dopo il push del riordino Fabio ha visto la CI verde</t>
  </si>
  <si>
    <t>FIX E BUG</t>
  </si>
  <si>
    <t>Da compilare a mano: un difetto per riga. Area, Gravità e Stato hanno il menu a tendina.</t>
  </si>
  <si>
    <t>ID</t>
  </si>
  <si>
    <t>Problema</t>
  </si>
  <si>
    <t>Soluzione</t>
  </si>
  <si>
    <t>Chiuso il</t>
  </si>
  <si>
    <t>CAP-002</t>
  </si>
  <si>
    <t>PrenotazioneCreateDTOValidator, CheckDisponibilitaDTOValidator; FE: VerificaDisponibilita.tsx</t>
  </si>
  <si>
    <t>Il tetto di 50 coperti per prenotazione è fisso nel codice</t>
  </si>
  <si>
    <t>Renderlo configurabile: A) valore in appsettings (consigliata) o B) impostazione dell'Admin nel database</t>
  </si>
  <si>
    <t>Fatto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</si>
</sst>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6"/>
      <color rgb="FFFFFFFF"/>
      <name val="Segoe UI"/>
    </font>
    <font>
      <i/>
      <sz val="10"/>
      <color rgb="FF595959"/>
      <name val="Segoe UI"/>
    </font>
    <font>
      <u/>
      <sz val="10"/>
      <color rgb="FF0563C1"/>
      <name val="Segoe UI"/>
    </font>
    <font>
      <b/>
      <sz val="10"/>
      <color rgb="FFFFFFFF"/>
      <name val="Segoe UI"/>
    </font>
    <font>
      <sz val="10"/>
      <name val="Segoe UI"/>
    </font>
    <font>
      <b/>
      <sz val="10"/>
      <color rgb="FF595959"/>
      <name val="Segoe UI"/>
    </font>
    <font>
      <b/>
      <sz val="12"/>
      <color rgb="FF2E5FAD"/>
      <name val="Segoe UI"/>
    </font>
    <font>
      <b/>
      <sz val="12"/>
      <color rgb="FF2E7D32"/>
      <name val="Segoe UI"/>
    </font>
    <font>
      <b/>
      <sz val="18"/>
      <color rgb="FFFFFFFF"/>
      <name val="Segoe UI"/>
    </font>
    <font>
      <b/>
      <sz val="9"/>
      <color rgb="FFFFFFFF"/>
      <name val="Segoe UI"/>
    </font>
    <font>
      <b/>
      <sz val="24"/>
      <color rgb="FF2E5FAD"/>
      <name val="Segoe UI"/>
    </font>
    <font>
      <b/>
      <sz val="24"/>
      <color rgb="FF2E7D32"/>
      <name val="Segoe UI"/>
    </font>
    <font>
      <b/>
      <sz val="24"/>
      <color rgb="FFC00000"/>
      <name val="Segoe UI"/>
    </font>
    <font>
      <b/>
      <sz val="12"/>
      <color rgb="FF1F3864"/>
      <name val="Segoe UI"/>
    </font>
    <font>
      <b/>
      <sz val="10"/>
      <color rgb="FF1F4E79"/>
      <name val="Segoe UI"/>
    </font>
    <font>
      <b/>
      <sz val="10"/>
      <color rgb="FF006100"/>
      <name val="Segoe UI"/>
    </font>
    <font>
      <b/>
      <sz val="10"/>
      <color rgb="FF7F6000"/>
      <name val="Segoe UI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1B5E20"/>
        <bgColor rgb="FF1B5E20"/>
      </patternFill>
    </fill>
    <fill>
      <patternFill patternType="solid">
        <fgColor rgb="FF8A3B0B"/>
        <bgColor rgb="FF8A3B0B"/>
      </patternFill>
    </fill>
    <fill>
      <patternFill patternType="solid">
        <fgColor rgb="FF1F2937"/>
        <bgColor rgb="FF1F2937"/>
      </patternFill>
    </fill>
    <fill>
      <patternFill patternType="solid">
        <fgColor rgb="FF2E5FAD"/>
        <bgColor rgb="FF2E5FAD"/>
      </patternFill>
    </fill>
    <fill>
      <patternFill patternType="solid">
        <fgColor rgb="FFF7F9FC"/>
        <bgColor rgb="FFF7F9FC"/>
      </patternFill>
    </fill>
    <fill>
      <patternFill patternType="solid">
        <fgColor rgb="FF2E7D32"/>
        <bgColor rgb="FF2E7D32"/>
      </patternFill>
    </fill>
    <fill>
      <patternFill patternType="solid">
        <fgColor rgb="FFC00000"/>
        <bgColor rgb="FFC00000"/>
      </patternFill>
    </fill>
    <fill>
      <patternFill patternType="solid">
        <fgColor rgb="FFDDEBF7"/>
        <bgColor rgb="FFDDEBF7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E7E6E6"/>
        <bgColor rgb="FFE7E6E6"/>
      </patternFill>
    </fill>
  </fills>
  <borders count="2">
    <border>
      <left/>
      <right/>
      <top/>
      <bottom/>
      <diagonal/>
    </border>
    <border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/>
    <xf numFmtId="0" fontId="10" fillId="8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14" fillId="0" borderId="0" xfId="0" applyFont="1"/>
    <xf numFmtId="0" fontId="4" fillId="0" borderId="0" xfId="0" applyFont="1"/>
    <xf numFmtId="0" fontId="3" fillId="0" borderId="0" xfId="0" applyFont="1" applyAlignment="1">
      <alignment vertical="top" wrapText="1"/>
    </xf>
    <xf numFmtId="0" fontId="15" fillId="10" borderId="0" xfId="0" applyFont="1" applyFill="1" applyAlignment="1">
      <alignment vertical="top" wrapText="1"/>
    </xf>
    <xf numFmtId="0" fontId="5" fillId="0" borderId="0" xfId="0" applyFont="1" applyAlignment="1">
      <alignment vertical="top" wrapText="1"/>
    </xf>
    <xf numFmtId="0" fontId="16" fillId="11" borderId="0" xfId="0" applyFont="1" applyFill="1" applyAlignment="1">
      <alignment vertical="top" wrapText="1"/>
    </xf>
    <xf numFmtId="0" fontId="17" fillId="12" borderId="0" xfId="0" applyFont="1" applyFill="1" applyAlignment="1">
      <alignment vertical="top" wrapText="1"/>
    </xf>
    <xf numFmtId="0" fontId="6" fillId="13" borderId="0" xfId="0" applyFont="1" applyFill="1" applyAlignment="1">
      <alignment vertical="top" wrapText="1"/>
    </xf>
    <xf numFmtId="0" fontId="3" fillId="0" borderId="0" xfId="0" applyFont="1" applyAlignment="1">
      <alignment horizontal="right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top"/>
    </xf>
    <xf numFmtId="0" fontId="6" fillId="0" borderId="0" xfId="0" applyFont="1"/>
    <xf numFmtId="0" fontId="7" fillId="0" borderId="0" xfId="0" applyFont="1" applyAlignment="1">
      <alignment horizontal="left"/>
    </xf>
    <xf numFmtId="14" fontId="5" fillId="0" borderId="0" xfId="0" applyNumberFormat="1" applyFont="1" applyAlignment="1">
      <alignment vertical="top"/>
    </xf>
    <xf numFmtId="0" fontId="8" fillId="0" borderId="0" xfId="0" applyFont="1" applyAlignment="1">
      <alignment horizontal="left"/>
    </xf>
    <xf numFmtId="14" fontId="0" fillId="0" borderId="0" xfId="0" applyNumberFormat="1"/>
    <xf numFmtId="0" fontId="10" fillId="6" borderId="1" xfId="0" applyFont="1" applyFill="1" applyBorder="1" applyAlignment="1">
      <alignment horizontal="center" vertical="center"/>
    </xf>
    <xf numFmtId="0" fontId="0" fillId="0" borderId="1" xfId="0" applyBorder="1"/>
    <xf numFmtId="0" fontId="11" fillId="7" borderId="1" xfId="0" applyFont="1" applyFill="1" applyBorder="1" applyAlignment="1">
      <alignment horizontal="center" vertical="center"/>
    </xf>
    <xf numFmtId="0" fontId="0" fillId="7" borderId="1" xfId="0" applyFill="1" applyBorder="1"/>
    <xf numFmtId="0" fontId="9" fillId="5" borderId="0" xfId="0" applyFont="1" applyFill="1" applyAlignment="1">
      <alignment vertical="center" indent="1"/>
    </xf>
    <xf numFmtId="0" fontId="0" fillId="5" borderId="0" xfId="0" applyFill="1"/>
    <xf numFmtId="0" fontId="13" fillId="7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 indent="1"/>
    </xf>
    <xf numFmtId="0" fontId="0" fillId="2" borderId="0" xfId="0" applyFill="1"/>
    <xf numFmtId="0" fontId="1" fillId="3" borderId="0" xfId="0" applyFont="1" applyFill="1" applyAlignment="1">
      <alignment vertical="center" indent="1"/>
    </xf>
    <xf numFmtId="0" fontId="0" fillId="3" borderId="0" xfId="0" applyFill="1"/>
    <xf numFmtId="0" fontId="1" fillId="4" borderId="0" xfId="0" applyFont="1" applyFill="1" applyAlignment="1">
      <alignment vertical="center" indent="1"/>
    </xf>
    <xf numFmtId="0" fontId="0" fillId="4" borderId="0" xfId="0" applyFill="1"/>
  </cellXfs>
  <cellStyles count="1">
    <cellStyle name="Normale" xfId="0" builtinId="0"/>
  </cellStyles>
  <dxfs count="60">
    <dxf>
      <font>
        <b/>
        <color rgb="FF595959"/>
        <name val="Segoe UI"/>
      </font>
      <fill>
        <patternFill patternType="solid">
          <fgColor rgb="FFE7E6E6"/>
          <bgColor rgb="FFE7E6E6"/>
        </patternFill>
      </fill>
    </dxf>
    <dxf>
      <font>
        <b/>
        <color rgb="FF9C0006"/>
        <name val="Segoe UI"/>
      </font>
      <fill>
        <patternFill patternType="solid">
          <fgColor rgb="FFFFC7CE"/>
          <bgColor rgb="FFFFC7CE"/>
        </patternFill>
      </fill>
    </dxf>
    <dxf>
      <font>
        <b/>
        <color rgb="FF7F6000"/>
        <name val="Segoe UI"/>
      </font>
      <fill>
        <patternFill patternType="solid">
          <fgColor rgb="FFFFEB9C"/>
          <bgColor rgb="FFFFEB9C"/>
        </patternFill>
      </fill>
    </dxf>
    <dxf>
      <font>
        <b/>
        <color rgb="FF006100"/>
        <name val="Segoe UI"/>
      </font>
      <fill>
        <patternFill patternType="solid">
          <fgColor rgb="FFC6EFCE"/>
          <bgColor rgb="FFC6EFCE"/>
        </patternFill>
      </fill>
    </dxf>
    <dxf>
      <font>
        <b/>
        <color rgb="FF006100"/>
        <name val="Segoe UI"/>
      </font>
      <fill>
        <patternFill patternType="solid">
          <fgColor rgb="FFC6EFCE"/>
          <bgColor rgb="FFC6EFCE"/>
        </patternFill>
      </fill>
    </dxf>
    <dxf>
      <font>
        <b/>
        <color rgb="FF7F6000"/>
        <name val="Segoe UI"/>
      </font>
      <fill>
        <patternFill patternType="solid">
          <fgColor rgb="FFFFEB9C"/>
          <bgColor rgb="FFFFEB9C"/>
        </patternFill>
      </fill>
    </dxf>
    <dxf>
      <font>
        <b/>
        <color rgb="FF9C0006"/>
        <name val="Segoe UI"/>
      </font>
      <fill>
        <patternFill patternType="solid">
          <fgColor rgb="FFFFC7CE"/>
          <bgColor rgb="FFFFC7CE"/>
        </patternFill>
      </fill>
    </dxf>
    <dxf>
      <font>
        <b/>
        <color rgb="FF595959"/>
        <name val="Segoe UI"/>
      </font>
      <fill>
        <patternFill patternType="solid">
          <fgColor rgb="FFE7E6E6"/>
          <bgColor rgb="FFE7E6E6"/>
        </patternFill>
      </fill>
    </dxf>
    <dxf>
      <font>
        <b/>
        <color rgb="FF9C0006"/>
        <name val="Segoe UI"/>
      </font>
      <fill>
        <patternFill patternType="solid">
          <fgColor rgb="FFFFC7CE"/>
          <bgColor rgb="FFFFC7CE"/>
        </patternFill>
      </fill>
    </dxf>
    <dxf>
      <font>
        <b/>
        <color rgb="FF7F6000"/>
        <name val="Segoe UI"/>
      </font>
      <fill>
        <patternFill patternType="solid">
          <fgColor rgb="FFFFEB9C"/>
          <bgColor rgb="FFFFEB9C"/>
        </patternFill>
      </fill>
    </dxf>
    <dxf>
      <font>
        <b/>
        <color rgb="FF006100"/>
        <name val="Segoe UI"/>
      </font>
      <fill>
        <patternFill patternType="solid">
          <fgColor rgb="FFC6EFCE"/>
          <bgColor rgb="FFC6EFCE"/>
        </patternFill>
      </fill>
    </dxf>
    <dxf>
      <font>
        <b/>
        <color rgb="FF9C0006"/>
        <name val="Segoe UI"/>
      </font>
      <fill>
        <patternFill patternType="solid">
          <fgColor rgb="FFFFC7CE"/>
          <bgColor rgb="FFFFC7CE"/>
        </patternFill>
      </fill>
    </dxf>
    <dxf>
      <font>
        <b/>
        <color rgb="FF5B3E87"/>
        <name val="Segoe UI"/>
      </font>
      <fill>
        <patternFill patternType="solid">
          <fgColor rgb="FFE4DFEC"/>
          <bgColor rgb="FFE4DFEC"/>
        </patternFill>
      </fill>
    </dxf>
    <dxf>
      <font>
        <b/>
        <color rgb="FF7F6000"/>
        <name val="Segoe UI"/>
      </font>
      <fill>
        <patternFill patternType="solid">
          <fgColor rgb="FFFFEB9C"/>
          <bgColor rgb="FFFFEB9C"/>
        </patternFill>
      </fill>
    </dxf>
    <dxf>
      <font>
        <b/>
        <color rgb="FF1F4E79"/>
        <name val="Segoe UI"/>
      </font>
      <fill>
        <patternFill patternType="solid">
          <fgColor rgb="FFDDEBF7"/>
          <bgColor rgb="FFDDEBF7"/>
        </patternFill>
      </fill>
    </dxf>
    <dxf>
      <font>
        <b/>
        <color rgb="FF006100"/>
        <name val="Segoe UI"/>
      </font>
      <fill>
        <patternFill patternType="solid">
          <fgColor rgb="FFC6EFCE"/>
          <bgColor rgb="FFC6EFCE"/>
        </patternFill>
      </fill>
    </dxf>
    <dxf>
      <font>
        <b/>
        <color rgb="FF595959"/>
        <name val="Segoe UI"/>
      </font>
      <fill>
        <patternFill patternType="solid">
          <fgColor rgb="FFE7E6E6"/>
          <bgColor rgb="FFE7E6E6"/>
        </patternFill>
      </fill>
    </dxf>
    <dxf>
      <font>
        <b/>
        <color rgb="FF5B3E87"/>
        <name val="Segoe UI"/>
      </font>
      <fill>
        <patternFill patternType="solid">
          <fgColor rgb="FFE4DFEC"/>
          <bgColor rgb="FFE4DFEC"/>
        </patternFill>
      </fill>
    </dxf>
    <dxf>
      <font>
        <b/>
        <color rgb="FF006100"/>
        <name val="Segoe UI"/>
      </font>
      <fill>
        <patternFill patternType="solid">
          <fgColor rgb="FFC6EFCE"/>
          <bgColor rgb="FFC6EFCE"/>
        </patternFill>
      </fill>
    </dxf>
    <dxf>
      <font>
        <b/>
        <color rgb="FF1F4E79"/>
        <name val="Segoe UI"/>
      </font>
      <fill>
        <patternFill patternType="solid">
          <fgColor rgb="FFDDEBF7"/>
          <bgColor rgb="FFDDEBF7"/>
        </patternFill>
      </fill>
    </dxf>
    <dxf>
      <font>
        <b/>
        <color rgb="FF9C0006"/>
        <name val="Segoe UI"/>
      </font>
      <fill>
        <patternFill patternType="solid">
          <fgColor rgb="FFFFC7CE"/>
          <bgColor rgb="FFFFC7CE"/>
        </patternFill>
      </fill>
    </dxf>
    <dxf>
      <font>
        <b/>
        <color rgb="FF595959"/>
        <name val="Segoe UI"/>
      </font>
      <fill>
        <patternFill patternType="solid">
          <fgColor rgb="FFE7E6E6"/>
          <bgColor rgb="FFE7E6E6"/>
        </patternFill>
      </fill>
    </dxf>
    <dxf>
      <font>
        <b/>
        <color rgb="FF595959"/>
        <name val="Segoe UI"/>
      </font>
      <fill>
        <patternFill patternType="solid">
          <fgColor rgb="FFE7E6E6"/>
          <bgColor rgb="FFE7E6E6"/>
        </patternFill>
      </fill>
    </dxf>
    <dxf>
      <font>
        <b/>
        <color rgb="FF006100"/>
        <name val="Segoe UI"/>
      </font>
      <fill>
        <patternFill patternType="solid">
          <fgColor rgb="FFC6EFCE"/>
          <bgColor rgb="FFC6EFCE"/>
        </patternFill>
      </fill>
    </dxf>
    <dxf>
      <font>
        <b/>
        <color rgb="FF595959"/>
        <name val="Segoe UI"/>
      </font>
      <fill>
        <patternFill patternType="solid">
          <fgColor rgb="FFE7E6E6"/>
          <bgColor rgb="FFE7E6E6"/>
        </patternFill>
      </fill>
    </dxf>
    <dxf>
      <font>
        <b/>
        <color rgb="FF006100"/>
        <name val="Segoe UI"/>
      </font>
      <fill>
        <patternFill patternType="solid">
          <fgColor rgb="FFC6EFCE"/>
          <bgColor rgb="FFC6EFCE"/>
        </patternFill>
      </fill>
    </dxf>
    <dxf>
      <font>
        <b/>
        <color rgb="FF9C0006"/>
        <name val="Segoe UI"/>
      </font>
      <fill>
        <patternFill patternType="solid">
          <fgColor rgb="FFFFC7CE"/>
          <bgColor rgb="FFFFC7CE"/>
        </patternFill>
      </fill>
    </dxf>
    <dxf>
      <font>
        <b/>
        <color rgb="FF595959"/>
        <name val="Segoe UI"/>
      </font>
      <fill>
        <patternFill patternType="solid">
          <fgColor rgb="FFE7E6E6"/>
          <bgColor rgb="FFE7E6E6"/>
        </patternFill>
      </fill>
    </dxf>
    <dxf>
      <font>
        <b/>
        <color rgb="FF7F6000"/>
        <name val="Segoe UI"/>
      </font>
      <fill>
        <patternFill patternType="solid">
          <fgColor rgb="FFFFEB9C"/>
          <bgColor rgb="FFFFEB9C"/>
        </patternFill>
      </fill>
    </dxf>
    <dxf>
      <font>
        <b/>
        <color rgb="FF006100"/>
        <name val="Segoe UI"/>
      </font>
      <fill>
        <patternFill patternType="solid">
          <fgColor rgb="FFC6EFCE"/>
          <bgColor rgb="FFC6EFCE"/>
        </patternFill>
      </fill>
    </dxf>
    <dxf>
      <font>
        <b/>
        <color rgb="FF5B3E87"/>
        <name val="Segoe UI"/>
      </font>
      <fill>
        <patternFill patternType="solid">
          <fgColor rgb="FFE4DFEC"/>
          <bgColor rgb="FFE4DFEC"/>
        </patternFill>
      </fill>
    </dxf>
    <dxf>
      <font>
        <b/>
        <color rgb="FF1F4E79"/>
        <name val="Segoe UI"/>
      </font>
      <fill>
        <patternFill patternType="solid">
          <fgColor rgb="FFDDEBF7"/>
          <bgColor rgb="FFDDEBF7"/>
        </patternFill>
      </fill>
    </dxf>
    <dxf>
      <font>
        <b/>
        <color rgb="FF5B3E87"/>
        <name val="Segoe UI"/>
      </font>
      <fill>
        <patternFill patternType="solid">
          <fgColor rgb="FFE4DFEC"/>
          <bgColor rgb="FFE4DFEC"/>
        </patternFill>
      </fill>
    </dxf>
    <dxf>
      <font>
        <b/>
        <color rgb="FF595959"/>
        <name val="Segoe UI"/>
      </font>
      <fill>
        <patternFill patternType="solid">
          <fgColor rgb="FFE7E6E6"/>
          <bgColor rgb="FFE7E6E6"/>
        </patternFill>
      </fill>
    </dxf>
    <dxf>
      <font>
        <b/>
        <color rgb="FF7F6000"/>
        <name val="Segoe UI"/>
      </font>
      <fill>
        <patternFill patternType="solid">
          <fgColor rgb="FFFFEB9C"/>
          <bgColor rgb="FFFFEB9C"/>
        </patternFill>
      </fill>
    </dxf>
    <dxf>
      <font>
        <b/>
        <color rgb="FF006100"/>
        <name val="Segoe UI"/>
      </font>
      <fill>
        <patternFill patternType="solid">
          <fgColor rgb="FFC6EFCE"/>
          <bgColor rgb="FFC6EFCE"/>
        </patternFill>
      </fill>
    </dxf>
    <dxf>
      <font>
        <b/>
        <color rgb="FF006100"/>
        <name val="Segoe UI"/>
      </font>
      <fill>
        <patternFill patternType="solid">
          <fgColor rgb="FFC6EFCE"/>
          <bgColor rgb="FFC6EFCE"/>
        </patternFill>
      </fill>
    </dxf>
    <dxf>
      <font>
        <b/>
        <color rgb="FF5B3E87"/>
        <name val="Segoe UI"/>
      </font>
      <fill>
        <patternFill patternType="solid">
          <fgColor rgb="FFE4DFEC"/>
          <bgColor rgb="FFE4DFEC"/>
        </patternFill>
      </fill>
    </dxf>
    <dxf>
      <font>
        <b/>
        <color rgb="FF1F4E79"/>
        <name val="Segoe UI"/>
      </font>
      <fill>
        <patternFill patternType="solid">
          <fgColor rgb="FFDDEBF7"/>
          <bgColor rgb="FFDDEBF7"/>
        </patternFill>
      </fill>
    </dxf>
    <dxf>
      <font>
        <b/>
        <color rgb="FF595959"/>
        <name val="Segoe UI"/>
      </font>
      <fill>
        <patternFill patternType="solid">
          <fgColor rgb="FFE7E6E6"/>
          <bgColor rgb="FFE7E6E6"/>
        </patternFill>
      </fill>
    </dxf>
    <dxf>
      <font>
        <b/>
        <color rgb="FF7F6000"/>
        <name val="Segoe UI"/>
      </font>
      <fill>
        <patternFill patternType="solid">
          <fgColor rgb="FFFFEB9C"/>
          <bgColor rgb="FFFFEB9C"/>
        </patternFill>
      </fill>
    </dxf>
    <dxf>
      <font>
        <b/>
        <color rgb="FF006100"/>
        <name val="Segoe UI"/>
      </font>
      <fill>
        <patternFill patternType="solid">
          <fgColor rgb="FFC6EFCE"/>
          <bgColor rgb="FFC6EFCE"/>
        </patternFill>
      </fill>
    </dxf>
    <dxf>
      <font>
        <b/>
        <color rgb="FF1F4E79"/>
        <name val="Segoe UI"/>
      </font>
      <fill>
        <patternFill patternType="solid">
          <fgColor rgb="FFDDEBF7"/>
          <bgColor rgb="FFDDEBF7"/>
        </patternFill>
      </fill>
    </dxf>
    <dxf>
      <font>
        <b/>
        <color rgb="FF9C0006"/>
        <name val="Segoe UI"/>
      </font>
      <fill>
        <patternFill patternType="solid">
          <fgColor rgb="FFFFC7CE"/>
          <bgColor rgb="FFFFC7CE"/>
        </patternFill>
      </fill>
    </dxf>
    <dxf>
      <font>
        <b/>
        <color rgb="FF5B3E87"/>
        <name val="Segoe UI"/>
      </font>
      <fill>
        <patternFill patternType="solid">
          <fgColor rgb="FFE4DFEC"/>
          <bgColor rgb="FFE4DFEC"/>
        </patternFill>
      </fill>
    </dxf>
    <dxf>
      <font>
        <b/>
        <color rgb="FF595959"/>
        <name val="Segoe UI"/>
      </font>
      <fill>
        <patternFill patternType="solid">
          <fgColor rgb="FFE7E6E6"/>
          <bgColor rgb="FFE7E6E6"/>
        </patternFill>
      </fill>
    </dxf>
    <dxf>
      <font>
        <b/>
        <color rgb="FF1F4E79"/>
        <name val="Segoe UI"/>
      </font>
      <fill>
        <patternFill patternType="solid">
          <fgColor rgb="FFDDEBF7"/>
          <bgColor rgb="FFDDEBF7"/>
        </patternFill>
      </fill>
    </dxf>
    <dxf>
      <font>
        <b/>
        <color rgb="FF9C0006"/>
        <name val="Segoe UI"/>
      </font>
      <fill>
        <patternFill patternType="solid">
          <fgColor rgb="FFFFC7CE"/>
          <bgColor rgb="FFFFC7CE"/>
        </patternFill>
      </fill>
    </dxf>
    <dxf>
      <font>
        <b/>
        <color rgb="FF7F6000"/>
        <name val="Segoe UI"/>
      </font>
      <fill>
        <patternFill patternType="solid">
          <fgColor rgb="FFFFEB9C"/>
          <bgColor rgb="FFFFEB9C"/>
        </patternFill>
      </fill>
    </dxf>
    <dxf>
      <font>
        <b/>
        <color rgb="FF9C0006"/>
        <name val="Segoe UI"/>
      </font>
      <fill>
        <patternFill patternType="solid">
          <fgColor rgb="FFFFC7CE"/>
          <bgColor rgb="FFFFC7CE"/>
        </patternFill>
      </fill>
    </dxf>
    <dxf>
      <font>
        <b/>
        <color rgb="FF5B3E87"/>
        <name val="Segoe UI"/>
      </font>
      <fill>
        <patternFill patternType="solid">
          <fgColor rgb="FFE4DFEC"/>
          <bgColor rgb="FFE4DFEC"/>
        </patternFill>
      </fill>
    </dxf>
    <dxf>
      <font>
        <b/>
        <color rgb="FF7F6000"/>
        <name val="Segoe UI"/>
      </font>
      <fill>
        <patternFill patternType="solid">
          <fgColor rgb="FFFFEB9C"/>
          <bgColor rgb="FFFFEB9C"/>
        </patternFill>
      </fill>
    </dxf>
    <dxf>
      <font>
        <b/>
        <color rgb="FF1F4E79"/>
        <name val="Segoe UI"/>
      </font>
      <fill>
        <patternFill patternType="solid">
          <fgColor rgb="FFDDEBF7"/>
          <bgColor rgb="FFDDEBF7"/>
        </patternFill>
      </fill>
    </dxf>
    <dxf>
      <font>
        <b/>
        <color rgb="FF006100"/>
        <name val="Segoe UI"/>
      </font>
      <fill>
        <patternFill patternType="solid">
          <fgColor rgb="FFC6EFCE"/>
          <bgColor rgb="FFC6EFCE"/>
        </patternFill>
      </fill>
    </dxf>
    <dxf>
      <font>
        <b/>
        <color rgb="FF7F6000"/>
        <name val="Segoe UI"/>
      </font>
      <fill>
        <patternFill patternType="solid">
          <fgColor rgb="FFFFEB9C"/>
          <bgColor rgb="FFFFEB9C"/>
        </patternFill>
      </fill>
    </dxf>
    <dxf>
      <font>
        <b/>
        <color rgb="FF595959"/>
        <name val="Segoe UI"/>
      </font>
      <fill>
        <patternFill patternType="solid">
          <fgColor rgb="FFE7E6E6"/>
          <bgColor rgb="FFE7E6E6"/>
        </patternFill>
      </fill>
    </dxf>
    <dxf>
      <font>
        <b/>
        <color rgb="FF5B3E87"/>
        <name val="Segoe UI"/>
      </font>
      <fill>
        <patternFill patternType="solid">
          <fgColor rgb="FFE4DFEC"/>
          <bgColor rgb="FFE4DFEC"/>
        </patternFill>
      </fill>
    </dxf>
    <dxf>
      <font>
        <b/>
        <color rgb="FF1F4E79"/>
        <name val="Segoe UI"/>
      </font>
      <fill>
        <patternFill patternType="solid">
          <fgColor rgb="FFDDEBF7"/>
          <bgColor rgb="FFDDEBF7"/>
        </patternFill>
      </fill>
    </dxf>
    <dxf>
      <font>
        <b/>
        <color rgb="FF595959"/>
        <name val="Segoe UI"/>
      </font>
      <fill>
        <patternFill patternType="solid">
          <fgColor rgb="FFE7E6E6"/>
          <bgColor rgb="FFE7E6E6"/>
        </patternFill>
      </fill>
    </dxf>
    <dxf>
      <font>
        <b/>
        <color rgb="FF006100"/>
        <name val="Segoe UI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1"/>
  <c:style val="10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Dashboard!$D$8</c:f>
              <c:strCache>
                <c:ptCount val="1"/>
                <c:pt idx="0">
                  <c:v>Righe</c:v>
                </c:pt>
              </c:strCache>
            </c:strRef>
          </c:tx>
          <c:spPr>
            <a:solidFill>
              <a:srgbClr val="2E5FAD"/>
            </a:solidFill>
            <a:ln>
              <a:solidFill>
                <a:srgbClr val="2E5FAD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Dashboard!$A$9:$A$27</c:f>
              <c:strCache>
                <c:ptCount val="19"/>
                <c:pt idx="0">
                  <c:v>BE · Models</c:v>
                </c:pt>
                <c:pt idx="1">
                  <c:v>BE · DTO</c:v>
                </c:pt>
                <c:pt idx="2">
                  <c:v>BE · Repository</c:v>
                </c:pt>
                <c:pt idx="3">
                  <c:v>BE · Services</c:v>
                </c:pt>
                <c:pt idx="4">
                  <c:v>BE · Controllers</c:v>
                </c:pt>
                <c:pt idx="5">
                  <c:v>BE · Method</c:v>
                </c:pt>
                <c:pt idx="6">
                  <c:v>BE · Validators</c:v>
                </c:pt>
                <c:pt idx="7">
                  <c:v>BE · Infrastruttura</c:v>
                </c:pt>
                <c:pt idx="8">
                  <c:v>BE · Test</c:v>
                </c:pt>
                <c:pt idx="9">
                  <c:v>BE · Auth e Security</c:v>
                </c:pt>
                <c:pt idx="10">
                  <c:v>BE · Jobs</c:v>
                </c:pt>
                <c:pt idx="11">
                  <c:v>BE · Migration</c:v>
                </c:pt>
                <c:pt idx="12">
                  <c:v>FE · Pagine</c:v>
                </c:pt>
                <c:pt idx="13">
                  <c:v>FE · Componenti</c:v>
                </c:pt>
                <c:pt idx="14">
                  <c:v>FE · Hook e API</c:v>
                </c:pt>
                <c:pt idx="15">
                  <c:v>FE · Auth</c:v>
                </c:pt>
                <c:pt idx="16">
                  <c:v>FE · Test</c:v>
                </c:pt>
                <c:pt idx="17">
                  <c:v>Appunti e Step</c:v>
                </c:pt>
                <c:pt idx="18">
                  <c:v>Fix e Bug</c:v>
                </c:pt>
              </c:strCache>
            </c:strRef>
          </c:cat>
          <c:val>
            <c:numRef>
              <c:f>Dashboard!$D$9:$D$27</c:f>
              <c:numCache>
                <c:formatCode>General</c:formatCode>
                <c:ptCount val="19"/>
                <c:pt idx="0">
                  <c:v>44</c:v>
                </c:pt>
                <c:pt idx="1">
                  <c:v>32</c:v>
                </c:pt>
                <c:pt idx="2">
                  <c:v>43</c:v>
                </c:pt>
                <c:pt idx="3">
                  <c:v>16</c:v>
                </c:pt>
                <c:pt idx="4">
                  <c:v>54</c:v>
                </c:pt>
                <c:pt idx="5">
                  <c:v>65</c:v>
                </c:pt>
                <c:pt idx="6">
                  <c:v>9</c:v>
                </c:pt>
                <c:pt idx="7">
                  <c:v>30</c:v>
                </c:pt>
                <c:pt idx="8">
                  <c:v>22</c:v>
                </c:pt>
                <c:pt idx="9">
                  <c:v>25</c:v>
                </c:pt>
                <c:pt idx="10">
                  <c:v>2</c:v>
                </c:pt>
                <c:pt idx="11">
                  <c:v>7</c:v>
                </c:pt>
                <c:pt idx="12">
                  <c:v>12</c:v>
                </c:pt>
                <c:pt idx="13">
                  <c:v>28</c:v>
                </c:pt>
                <c:pt idx="14">
                  <c:v>39</c:v>
                </c:pt>
                <c:pt idx="15">
                  <c:v>13</c:v>
                </c:pt>
                <c:pt idx="16">
                  <c:v>9</c:v>
                </c:pt>
                <c:pt idx="17">
                  <c:v>4</c:v>
                </c:pt>
                <c:pt idx="18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E5FAD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C13-4BAD-B3F3-6CA7A9584C27}"/>
            </c:ext>
          </c:extLst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6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t"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7</xdr:row>
      <xdr:rowOff>0</xdr:rowOff>
    </xdr:from>
    <xdr:ext cx="6120000" cy="46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dice" displayName="Indice" ref="A8:D27">
  <autoFilter ref="A8:D27" xr:uid="{00000000-0009-0000-0100-000001000000}"/>
  <tableColumns count="4">
    <tableColumn id="1" xr3:uid="{00000000-0010-0000-0000-000001000000}" name="Foglio"/>
    <tableColumn id="2" xr3:uid="{00000000-0010-0000-0000-000002000000}" name="Lato"/>
    <tableColumn id="3" xr3:uid="{00000000-0010-0000-0000-000003000000}" name="Cosa contiene"/>
    <tableColumn id="4" xr3:uid="{00000000-0010-0000-0000-000004000000}" name="Righ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ixPerStato" displayName="FixPerStato" ref="F35:G39">
  <autoFilter ref="F35:G39" xr:uid="{00000000-0009-0000-0100-000002000000}"/>
  <tableColumns count="2">
    <tableColumn id="6" xr3:uid="{00000000-0010-0000-0100-000006000000}" name="Stato"/>
    <tableColumn id="7" xr3:uid="{00000000-0010-0000-0100-000007000000}" name="Quanti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ixPerGravita" displayName="FixPerGravita" ref="H35:I38">
  <autoFilter ref="H35:I38" xr:uid="{00000000-0009-0000-0100-000003000000}"/>
  <tableColumns count="2">
    <tableColumn id="8" xr3:uid="{00000000-0010-0000-0200-000008000000}" name="Gravità"/>
    <tableColumn id="9" xr3:uid="{00000000-0010-0000-0200-000009000000}" name="Aperti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Ambienti" displayName="Ambienti" ref="A30:C36">
  <autoFilter ref="A30:C36" xr:uid="{00000000-0009-0000-0100-000004000000}"/>
  <tableColumns count="3">
    <tableColumn id="1" xr3:uid="{00000000-0010-0000-0300-000001000000}" name="Ambiente"/>
    <tableColumn id="2" xr3:uid="{00000000-0010-0000-0300-000002000000}" name="Dove"/>
    <tableColumn id="3" xr3:uid="{00000000-0010-0000-0300-000003000000}" name="Indirizzo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Stack" displayName="Stack" ref="A39:C60">
  <autoFilter ref="A39:C60" xr:uid="{00000000-0009-0000-0100-000005000000}"/>
  <tableColumns count="3">
    <tableColumn id="1" xr3:uid="{00000000-0010-0000-0400-000001000000}" name="Tecnologia"/>
    <tableColumn id="2" xr3:uid="{00000000-0010-0000-0400-000002000000}" name="Versione"/>
    <tableColumn id="3" xr3:uid="{00000000-0010-0000-0400-000003000000}" name="Lato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DoveStaCosa" displayName="DoveStaCosa" ref="A63:C68">
  <autoFilter ref="A63:C68" xr:uid="{00000000-0009-0000-0100-000006000000}"/>
  <tableColumns count="3">
    <tableColumn id="1" xr3:uid="{00000000-0010-0000-0500-000001000000}" name="Cerchi…"/>
    <tableColumn id="2" xr3:uid="{00000000-0010-0000-0500-000002000000}" name="File"/>
    <tableColumn id="3" xr3:uid="{00000000-0010-0000-0500-000003000000}" name="Dove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BE_Models" displayName="BE_Models" ref="A4:F48">
  <autoFilter ref="A4:F48" xr:uid="{00000000-0009-0000-0100-000007000000}"/>
  <tableColumns count="6">
    <tableColumn id="1" xr3:uid="{00000000-0010-0000-0600-000001000000}" name="Entità"/>
    <tableColumn id="2" xr3:uid="{00000000-0010-0000-0600-000002000000}" name="Tabella"/>
    <tableColumn id="3" xr3:uid="{00000000-0010-0000-0600-000003000000}" name="Campo"/>
    <tableColumn id="4" xr3:uid="{00000000-0010-0000-0600-000004000000}" name="Tipo"/>
    <tableColumn id="5" xr3:uid="{00000000-0010-0000-0600-000005000000}" name="Obbligatorio"/>
    <tableColumn id="6" xr3:uid="{00000000-0010-0000-0600-000006000000}" name="No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BE_DTO" displayName="BE_DTO" ref="A4:D36">
  <autoFilter ref="A4:D36" xr:uid="{00000000-0009-0000-0100-000008000000}"/>
  <tableColumns count="4">
    <tableColumn id="1" xr3:uid="{00000000-0010-0000-0700-000001000000}" name="DTO"/>
    <tableColumn id="2" xr3:uid="{00000000-0010-0000-0700-000002000000}" name="Area"/>
    <tableColumn id="3" xr3:uid="{00000000-0010-0000-0700-000003000000}" name="Serve a"/>
    <tableColumn id="4" xr3:uid="{00000000-0010-0000-0700-000004000000}" name="Campi principali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BE_Repository" displayName="BE_Repository" ref="A4:D47">
  <autoFilter ref="A4:D47" xr:uid="{00000000-0009-0000-0100-000009000000}"/>
  <tableColumns count="4">
    <tableColumn id="1" xr3:uid="{00000000-0010-0000-0800-000001000000}" name="Repository"/>
    <tableColumn id="2" xr3:uid="{00000000-0010-0000-0800-000002000000}" name="Metodo"/>
    <tableColumn id="3" xr3:uid="{00000000-0010-0000-0800-000003000000}" name="Cosa fa"/>
    <tableColumn id="4" xr3:uid="{00000000-0010-0000-0800-000004000000}" name="No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BE_Services" displayName="BE_Services" ref="A4:F20">
  <autoFilter ref="A4:F20" xr:uid="{00000000-0009-0000-0100-00000A000000}"/>
  <tableColumns count="6">
    <tableColumn id="1" xr3:uid="{00000000-0010-0000-0900-000001000000}" name="Servizio"/>
    <tableColumn id="2" xr3:uid="{00000000-0010-0000-0900-000002000000}" name="Tipo"/>
    <tableColumn id="3" xr3:uid="{00000000-0010-0000-0900-000003000000}" name="Cosa fa"/>
    <tableColumn id="4" xr3:uid="{00000000-0010-0000-0900-000004000000}" name="Usa"/>
    <tableColumn id="5" xr3:uid="{00000000-0010-0000-0900-000005000000}" name="Cache"/>
    <tableColumn id="6" xr3:uid="{00000000-0010-0000-0900-000006000000}" name="Not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BE_Controllers" displayName="BE_Controllers" ref="A4:G58">
  <autoFilter ref="A4:G58" xr:uid="{00000000-0009-0000-0100-00000B000000}"/>
  <tableColumns count="7">
    <tableColumn id="1" xr3:uid="{00000000-0010-0000-0A00-000001000000}" name="Controller"/>
    <tableColumn id="2" xr3:uid="{00000000-0010-0000-0A00-000002000000}" name="Verbo"/>
    <tableColumn id="3" xr3:uid="{00000000-0010-0000-0A00-000003000000}" name="Route"/>
    <tableColumn id="4" xr3:uid="{00000000-0010-0000-0A00-000004000000}" name="Chi può"/>
    <tableColumn id="5" xr3:uid="{00000000-0010-0000-0A00-000005000000}" name="Metodo"/>
    <tableColumn id="6" xr3:uid="{00000000-0010-0000-0A00-000006000000}" name="Cosa fa"/>
    <tableColumn id="7" xr3:uid="{00000000-0010-0000-0A00-000007000000}" name="Limi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BE_Method" displayName="BE_Method" ref="A4:E69">
  <autoFilter ref="A4:E69" xr:uid="{00000000-0009-0000-0100-00000C000000}"/>
  <tableColumns count="5">
    <tableColumn id="1" xr3:uid="{00000000-0010-0000-0B00-000001000000}" name="Classe"/>
    <tableColumn id="2" xr3:uid="{00000000-0010-0000-0B00-000002000000}" name="Metodo"/>
    <tableColumn id="3" xr3:uid="{00000000-0010-0000-0B00-000003000000}" name="Visibilità"/>
    <tableColumn id="4" xr3:uid="{00000000-0010-0000-0B00-000004000000}" name="Cosa fa"/>
    <tableColumn id="5" xr3:uid="{00000000-0010-0000-0B00-000005000000}" name="Chiamato da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BE_Validators" displayName="BE_Validators" ref="A4:C13">
  <autoFilter ref="A4:C13" xr:uid="{00000000-0009-0000-0100-00000D000000}"/>
  <tableColumns count="3">
    <tableColumn id="1" xr3:uid="{00000000-0010-0000-0C00-000001000000}" name="Validatore"/>
    <tableColumn id="2" xr3:uid="{00000000-0010-0000-0C00-000002000000}" name="Controlla"/>
    <tableColumn id="3" xr3:uid="{00000000-0010-0000-0C00-000003000000}" name="Regole principali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BE_Infrastruttura" displayName="BE_Infrastruttura" ref="A4:C34">
  <autoFilter ref="A4:C34" xr:uid="{00000000-0009-0000-0100-00000E000000}"/>
  <tableColumns count="3">
    <tableColumn id="1" xr3:uid="{00000000-0010-0000-0D00-000001000000}" name="Componente"/>
    <tableColumn id="2" xr3:uid="{00000000-0010-0000-0D00-000002000000}" name="Tipo"/>
    <tableColumn id="3" xr3:uid="{00000000-0010-0000-0D00-000003000000}" name="Cosa fa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BE_Test" displayName="BE_Test" ref="A4:E26">
  <autoFilter ref="A4:E26" xr:uid="{00000000-0009-0000-0100-00000F000000}"/>
  <tableColumns count="5">
    <tableColumn id="1" xr3:uid="{00000000-0010-0000-0E00-000001000000}" name="Classe di test"/>
    <tableColumn id="2" xr3:uid="{00000000-0010-0000-0E00-000002000000}" name="Cosa prova"/>
    <tableColumn id="3" xr3:uid="{00000000-0010-0000-0E00-000003000000}" name="Tecnica"/>
    <tableColumn id="4" xr3:uid="{00000000-0010-0000-0E00-000004000000}" name="N. test"/>
    <tableColumn id="5" xr3:uid="{00000000-0010-0000-0E00-000005000000}" name="Not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BE_Auth_e_Security" displayName="BE_Auth_e_Security" ref="A4:C29">
  <autoFilter ref="A4:C29" xr:uid="{00000000-0009-0000-0100-000010000000}"/>
  <tableColumns count="3">
    <tableColumn id="1" xr3:uid="{00000000-0010-0000-0F00-000001000000}" name="Sezione"/>
    <tableColumn id="2" xr3:uid="{00000000-0010-0000-0F00-000002000000}" name="Voce"/>
    <tableColumn id="3" xr3:uid="{00000000-0010-0000-0F00-000003000000}" name="Come funziona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BE_Jobs" displayName="BE_Jobs" ref="A4:F6">
  <autoFilter ref="A4:F6" xr:uid="{00000000-0009-0000-0100-000011000000}"/>
  <tableColumns count="6">
    <tableColumn id="1" xr3:uid="{00000000-0010-0000-1000-000001000000}" name="Job"/>
    <tableColumn id="2" xr3:uid="{00000000-0010-0000-1000-000002000000}" name="Quando"/>
    <tableColumn id="3" xr3:uid="{00000000-0010-0000-1000-000003000000}" name="Cron"/>
    <tableColumn id="4" xr3:uid="{00000000-0010-0000-1000-000004000000}" name="Cosa fa"/>
    <tableColumn id="5" xr3:uid="{00000000-0010-0000-1000-000005000000}" name="Metodo chiamato"/>
    <tableColumn id="6" xr3:uid="{00000000-0010-0000-1000-000006000000}" name="Come forzarlo (Admin)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BE_Migration" displayName="BE_Migration" ref="A4:G11">
  <autoFilter ref="A4:G11" xr:uid="{00000000-0009-0000-0100-000012000000}"/>
  <tableColumns count="7">
    <tableColumn id="1" xr3:uid="{00000000-0010-0000-1100-000001000000}" name="N."/>
    <tableColumn id="2" xr3:uid="{00000000-0010-0000-1100-000002000000}" name="Nome migration"/>
    <tableColumn id="3" xr3:uid="{00000000-0010-0000-1100-000003000000}" name="Data"/>
    <tableColumn id="4" xr3:uid="{00000000-0010-0000-1100-000004000000}" name="Cosa cambia"/>
    <tableColumn id="5" xr3:uid="{00000000-0010-0000-1100-000005000000}" name="Locale"/>
    <tableColumn id="6" xr3:uid="{00000000-0010-0000-1100-000006000000}" name="Produzione"/>
    <tableColumn id="7" xr3:uid="{00000000-0010-0000-1100-000007000000}" name="Not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FE_Pagine" displayName="FE_Pagine" ref="A4:D16">
  <autoFilter ref="A4:D16" xr:uid="{00000000-0009-0000-0100-000013000000}"/>
  <tableColumns count="4">
    <tableColumn id="1" xr3:uid="{00000000-0010-0000-1200-000001000000}" name="Indirizzo"/>
    <tableColumn id="2" xr3:uid="{00000000-0010-0000-1200-000002000000}" name="Pagina"/>
    <tableColumn id="3" xr3:uid="{00000000-0010-0000-1200-000003000000}" name="Chi la vede"/>
    <tableColumn id="4" xr3:uid="{00000000-0010-0000-1200-000004000000}" name="Cosa fa"/>
  </tableColumns>
  <tableStyleInfo name="TableStyleMedium4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FE_Componenti" displayName="FE_Componenti" ref="A4:D32">
  <autoFilter ref="A4:D32" xr:uid="{00000000-0009-0000-0100-000014000000}"/>
  <tableColumns count="4">
    <tableColumn id="1" xr3:uid="{00000000-0010-0000-1300-000001000000}" name="Componente"/>
    <tableColumn id="2" xr3:uid="{00000000-0010-0000-1300-000002000000}" name="Tipo"/>
    <tableColumn id="3" xr3:uid="{00000000-0010-0000-1300-000003000000}" name="Cosa fa"/>
    <tableColumn id="4" xr3:uid="{00000000-0010-0000-1300-000004000000}" name="Usato in"/>
  </tableColumns>
  <tableStyleInfo name="TableStyleMedium4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FE_Hook_e_API" displayName="FE_Hook_e_API" ref="A4:F43">
  <autoFilter ref="A4:F43" xr:uid="{00000000-0009-0000-0100-000015000000}"/>
  <tableColumns count="6">
    <tableColumn id="1" xr3:uid="{00000000-0010-0000-1400-000001000000}" name="Hook"/>
    <tableColumn id="2" xr3:uid="{00000000-0010-0000-1400-000002000000}" name="Area"/>
    <tableColumn id="3" xr3:uid="{00000000-0010-0000-1400-000003000000}" name="Verbo"/>
    <tableColumn id="4" xr3:uid="{00000000-0010-0000-1400-000004000000}" name="Endpoint"/>
    <tableColumn id="5" xr3:uid="{00000000-0010-0000-1400-000005000000}" name="Cosa fa"/>
    <tableColumn id="6" xr3:uid="{00000000-0010-0000-1400-000006000000}" name="File"/>
  </tableColumns>
  <tableStyleInfo name="TableStyleMedium4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FE_Auth" displayName="FE_Auth" ref="A4:C17">
  <autoFilter ref="A4:C17" xr:uid="{00000000-0009-0000-0100-000016000000}"/>
  <tableColumns count="3">
    <tableColumn id="1" xr3:uid="{00000000-0010-0000-1500-000001000000}" name="Voce"/>
    <tableColumn id="2" xr3:uid="{00000000-0010-0000-1500-000002000000}" name="Dove"/>
    <tableColumn id="3" xr3:uid="{00000000-0010-0000-1500-000003000000}" name="Come funziona"/>
  </tableColumns>
  <tableStyleInfo name="TableStyleMedium4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FE_Test" displayName="FE_Test" ref="A4:C13">
  <autoFilter ref="A4:C13" xr:uid="{00000000-0009-0000-0100-000017000000}"/>
  <tableColumns count="3">
    <tableColumn id="1" xr3:uid="{00000000-0010-0000-1600-000001000000}" name="File di test"/>
    <tableColumn id="2" xr3:uid="{00000000-0010-0000-1600-000002000000}" name="Cosa prova"/>
    <tableColumn id="3" xr3:uid="{00000000-0010-0000-1600-000003000000}" name="N. test"/>
  </tableColumns>
  <tableStyleInfo name="TableStyleMedium4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Appunti_e_Step" displayName="Appunti_e_Step" ref="A4:F34">
  <autoFilter ref="A4:F34" xr:uid="{00000000-0009-0000-0100-000018000000}"/>
  <tableColumns count="6">
    <tableColumn id="1" xr3:uid="{00000000-0010-0000-1700-000001000000}" name="Data"/>
    <tableColumn id="2" xr3:uid="{00000000-0010-0000-1700-000002000000}" name="Area"/>
    <tableColumn id="3" xr3:uid="{00000000-0010-0000-1700-000003000000}" name="Cosa si è fatto"/>
    <tableColumn id="4" xr3:uid="{00000000-0010-0000-1700-000004000000}" name="Prossimo passo"/>
    <tableColumn id="5" xr3:uid="{00000000-0010-0000-1700-000005000000}" name="Stato"/>
    <tableColumn id="6" xr3:uid="{00000000-0010-0000-1700-000006000000}" name="Note"/>
  </tableColumns>
  <tableStyleInfo name="TableStyleMedium7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Fix_e_Bug" displayName="Fix_e_Bug" ref="A4:I34">
  <autoFilter ref="A4:I34" xr:uid="{00000000-0009-0000-0100-000019000000}"/>
  <tableColumns count="9">
    <tableColumn id="1" xr3:uid="{00000000-0010-0000-1800-000001000000}" name="ID"/>
    <tableColumn id="2" xr3:uid="{00000000-0010-0000-1800-000002000000}" name="Data"/>
    <tableColumn id="3" xr3:uid="{00000000-0010-0000-1800-000003000000}" name="Area"/>
    <tableColumn id="4" xr3:uid="{00000000-0010-0000-1800-000004000000}" name="Dove"/>
    <tableColumn id="5" xr3:uid="{00000000-0010-0000-1800-000005000000}" name="Problema"/>
    <tableColumn id="6" xr3:uid="{00000000-0010-0000-1800-000006000000}" name="Gravità"/>
    <tableColumn id="7" xr3:uid="{00000000-0010-0000-1800-000007000000}" name="Soluzione"/>
    <tableColumn id="8" xr3:uid="{00000000-0010-0000-1800-000008000000}" name="Stato"/>
    <tableColumn id="9" xr3:uid="{00000000-0010-0000-1800-000009000000}" name="Chiuso il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.xml"/><Relationship Id="rId3" Type="http://schemas.openxmlformats.org/officeDocument/2006/relationships/hyperlink" Target="http://localhost:5173/" TargetMode="External"/><Relationship Id="rId7" Type="http://schemas.openxmlformats.org/officeDocument/2006/relationships/table" Target="../tables/table2.xml"/><Relationship Id="rId2" Type="http://schemas.openxmlformats.org/officeDocument/2006/relationships/hyperlink" Target="https://gestora-api-emdvdqegg7g8gmaq.canadacentral-01.azurewebsites.net/health" TargetMode="External"/><Relationship Id="rId1" Type="http://schemas.openxmlformats.org/officeDocument/2006/relationships/hyperlink" Target="https://gestora-project-xi.vercel.app/" TargetMode="External"/><Relationship Id="rId6" Type="http://schemas.openxmlformats.org/officeDocument/2006/relationships/table" Target="../tables/table1.xml"/><Relationship Id="rId11" Type="http://schemas.openxmlformats.org/officeDocument/2006/relationships/table" Target="../tables/table6.xml"/><Relationship Id="rId5" Type="http://schemas.openxmlformats.org/officeDocument/2006/relationships/drawing" Target="../drawings/drawing1.xml"/><Relationship Id="rId10" Type="http://schemas.openxmlformats.org/officeDocument/2006/relationships/table" Target="../tables/table5.xml"/><Relationship Id="rId4" Type="http://schemas.openxmlformats.org/officeDocument/2006/relationships/hyperlink" Target="http://localhost:5099/" TargetMode="External"/><Relationship Id="rId9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2937"/>
  </sheetPr>
  <dimension ref="A1:I68"/>
  <sheetViews>
    <sheetView showGridLines="0" workbookViewId="0">
      <pane ySplit="3" topLeftCell="A4" activePane="bottomLeft" state="frozen"/>
      <selection pane="bottomLeft" sqref="A1:I1"/>
    </sheetView>
  </sheetViews>
  <sheetFormatPr defaultRowHeight="14.4" x14ac:dyDescent="0.3"/>
  <cols>
    <col min="1" max="1" width="36" customWidth="1"/>
    <col min="2" max="2" width="26" customWidth="1"/>
    <col min="3" max="3" width="52" customWidth="1"/>
    <col min="4" max="4" width="12" customWidth="1"/>
    <col min="5" max="5" width="3" customWidth="1"/>
    <col min="6" max="6" width="26" customWidth="1"/>
    <col min="7" max="7" width="14" customWidth="1"/>
    <col min="8" max="8" width="26" customWidth="1"/>
    <col min="9" max="9" width="14" customWidth="1"/>
    <col min="10" max="10" width="3" customWidth="1"/>
  </cols>
  <sheetData>
    <row r="1" spans="1:9" ht="40.049999999999997" customHeight="1" x14ac:dyDescent="0.3">
      <c r="A1" s="24" t="s">
        <v>0</v>
      </c>
      <c r="B1" s="25"/>
      <c r="C1" s="25"/>
      <c r="D1" s="25"/>
      <c r="E1" s="25"/>
      <c r="F1" s="25"/>
      <c r="G1" s="25"/>
      <c r="H1" s="25"/>
      <c r="I1" s="25"/>
    </row>
    <row r="2" spans="1:9" ht="15" x14ac:dyDescent="0.35">
      <c r="A2" s="1" t="s">
        <v>1</v>
      </c>
    </row>
    <row r="4" spans="1:9" ht="19.95" customHeight="1" x14ac:dyDescent="0.3">
      <c r="A4" s="20" t="s">
        <v>2</v>
      </c>
      <c r="B4" s="21"/>
      <c r="C4" s="2" t="s">
        <v>3</v>
      </c>
      <c r="D4" s="20" t="s">
        <v>4</v>
      </c>
      <c r="E4" s="21"/>
      <c r="F4" s="21"/>
      <c r="G4" s="21"/>
      <c r="H4" s="27" t="s">
        <v>5</v>
      </c>
      <c r="I4" s="21"/>
    </row>
    <row r="5" spans="1:9" ht="43.95" customHeight="1" x14ac:dyDescent="0.3">
      <c r="A5" s="22">
        <f>SUM('BE · Test'!D5:D1000)</f>
        <v>292</v>
      </c>
      <c r="B5" s="23"/>
      <c r="C5" s="3">
        <f>SUM('FE · Test'!C5:C1000)</f>
        <v>64</v>
      </c>
      <c r="D5" s="22">
        <f>COUNTA('BE · Controllers'!A5:A1000)</f>
        <v>54</v>
      </c>
      <c r="E5" s="23"/>
      <c r="F5" s="23"/>
      <c r="G5" s="23"/>
      <c r="H5" s="26">
        <f>COUNTIF('Fix e Bug'!H5:H1000,"Aperto")+COUNTIF('Fix e Bug'!H5:H1000,"In corso")</f>
        <v>1</v>
      </c>
      <c r="I5" s="23"/>
    </row>
    <row r="7" spans="1:9" ht="19.2" x14ac:dyDescent="0.45">
      <c r="A7" s="4" t="s">
        <v>6</v>
      </c>
      <c r="F7" s="4" t="s">
        <v>7</v>
      </c>
    </row>
    <row r="8" spans="1:9" ht="15" x14ac:dyDescent="0.35">
      <c r="A8" s="5" t="s">
        <v>8</v>
      </c>
      <c r="B8" s="5" t="s">
        <v>9</v>
      </c>
      <c r="C8" s="5" t="s">
        <v>10</v>
      </c>
      <c r="D8" s="5" t="s">
        <v>11</v>
      </c>
    </row>
    <row r="9" spans="1:9" ht="15" x14ac:dyDescent="0.3">
      <c r="A9" s="6" t="s">
        <v>12</v>
      </c>
      <c r="B9" s="7" t="s">
        <v>13</v>
      </c>
      <c r="C9" s="8" t="s">
        <v>14</v>
      </c>
      <c r="D9" s="8">
        <f>COUNTA('BE · Models'!A5:A1000)</f>
        <v>44</v>
      </c>
    </row>
    <row r="10" spans="1:9" ht="15" x14ac:dyDescent="0.3">
      <c r="A10" s="6" t="s">
        <v>15</v>
      </c>
      <c r="B10" s="7" t="s">
        <v>13</v>
      </c>
      <c r="C10" s="8" t="s">
        <v>16</v>
      </c>
      <c r="D10" s="8">
        <f>COUNTA('BE · DTO'!A5:A1000)</f>
        <v>32</v>
      </c>
    </row>
    <row r="11" spans="1:9" ht="15" x14ac:dyDescent="0.3">
      <c r="A11" s="6" t="s">
        <v>17</v>
      </c>
      <c r="B11" s="7" t="s">
        <v>13</v>
      </c>
      <c r="C11" s="8" t="s">
        <v>18</v>
      </c>
      <c r="D11" s="8">
        <f>COUNTA('BE · Repository'!A5:A1000)</f>
        <v>43</v>
      </c>
    </row>
    <row r="12" spans="1:9" ht="15" x14ac:dyDescent="0.3">
      <c r="A12" s="6" t="s">
        <v>19</v>
      </c>
      <c r="B12" s="7" t="s">
        <v>13</v>
      </c>
      <c r="C12" s="8" t="s">
        <v>20</v>
      </c>
      <c r="D12" s="8">
        <f>COUNTA('BE · Services'!A5:A1000)</f>
        <v>16</v>
      </c>
    </row>
    <row r="13" spans="1:9" ht="15" x14ac:dyDescent="0.3">
      <c r="A13" s="6" t="s">
        <v>21</v>
      </c>
      <c r="B13" s="7" t="s">
        <v>13</v>
      </c>
      <c r="C13" s="8" t="s">
        <v>22</v>
      </c>
      <c r="D13" s="8">
        <f>COUNTA('BE · Controllers'!A5:A1000)</f>
        <v>54</v>
      </c>
    </row>
    <row r="14" spans="1:9" ht="15" x14ac:dyDescent="0.3">
      <c r="A14" s="6" t="s">
        <v>23</v>
      </c>
      <c r="B14" s="7" t="s">
        <v>13</v>
      </c>
      <c r="C14" s="8" t="s">
        <v>24</v>
      </c>
      <c r="D14" s="8">
        <f>COUNTA('BE · Method'!A5:A1000)</f>
        <v>65</v>
      </c>
    </row>
    <row r="15" spans="1:9" ht="15" x14ac:dyDescent="0.3">
      <c r="A15" s="6" t="s">
        <v>25</v>
      </c>
      <c r="B15" s="7" t="s">
        <v>13</v>
      </c>
      <c r="C15" s="8" t="s">
        <v>26</v>
      </c>
      <c r="D15" s="8">
        <f>COUNTA('BE · Validators'!A5:A1000)</f>
        <v>9</v>
      </c>
    </row>
    <row r="16" spans="1:9" ht="15" x14ac:dyDescent="0.3">
      <c r="A16" s="6" t="s">
        <v>27</v>
      </c>
      <c r="B16" s="7" t="s">
        <v>13</v>
      </c>
      <c r="C16" s="8" t="s">
        <v>28</v>
      </c>
      <c r="D16" s="8">
        <f>COUNTA('BE · Infrastruttura'!A5:A1000)</f>
        <v>30</v>
      </c>
    </row>
    <row r="17" spans="1:4" ht="15" x14ac:dyDescent="0.3">
      <c r="A17" s="6" t="s">
        <v>29</v>
      </c>
      <c r="B17" s="7" t="s">
        <v>13</v>
      </c>
      <c r="C17" s="8" t="s">
        <v>30</v>
      </c>
      <c r="D17" s="8">
        <f>COUNTA('BE · Test'!A5:A1000)</f>
        <v>22</v>
      </c>
    </row>
    <row r="18" spans="1:4" ht="15" x14ac:dyDescent="0.3">
      <c r="A18" s="6" t="s">
        <v>31</v>
      </c>
      <c r="B18" s="7" t="s">
        <v>13</v>
      </c>
      <c r="C18" s="8" t="s">
        <v>32</v>
      </c>
      <c r="D18" s="8">
        <f>COUNTA('BE · Auth e Security'!A5:A1000)</f>
        <v>25</v>
      </c>
    </row>
    <row r="19" spans="1:4" ht="15" x14ac:dyDescent="0.3">
      <c r="A19" s="6" t="s">
        <v>33</v>
      </c>
      <c r="B19" s="7" t="s">
        <v>13</v>
      </c>
      <c r="C19" s="8" t="s">
        <v>34</v>
      </c>
      <c r="D19" s="8">
        <f>COUNTA('BE · Jobs'!A5:A1000)</f>
        <v>2</v>
      </c>
    </row>
    <row r="20" spans="1:4" ht="15" x14ac:dyDescent="0.3">
      <c r="A20" s="6" t="s">
        <v>35</v>
      </c>
      <c r="B20" s="7" t="s">
        <v>13</v>
      </c>
      <c r="C20" s="8" t="s">
        <v>36</v>
      </c>
      <c r="D20" s="8">
        <f>COUNTA('BE · Migration'!A5:A1000)</f>
        <v>7</v>
      </c>
    </row>
    <row r="21" spans="1:4" ht="15" x14ac:dyDescent="0.3">
      <c r="A21" s="6" t="s">
        <v>37</v>
      </c>
      <c r="B21" s="9" t="s">
        <v>38</v>
      </c>
      <c r="C21" s="8" t="s">
        <v>39</v>
      </c>
      <c r="D21" s="8">
        <f>COUNTA('FE · Pagine'!A5:A1000)</f>
        <v>12</v>
      </c>
    </row>
    <row r="22" spans="1:4" ht="15" x14ac:dyDescent="0.3">
      <c r="A22" s="6" t="s">
        <v>40</v>
      </c>
      <c r="B22" s="9" t="s">
        <v>38</v>
      </c>
      <c r="C22" s="8" t="s">
        <v>41</v>
      </c>
      <c r="D22" s="8">
        <f>COUNTA('FE · Componenti'!A5:A1000)</f>
        <v>28</v>
      </c>
    </row>
    <row r="23" spans="1:4" ht="15" x14ac:dyDescent="0.3">
      <c r="A23" s="6" t="s">
        <v>42</v>
      </c>
      <c r="B23" s="9" t="s">
        <v>38</v>
      </c>
      <c r="C23" s="8" t="s">
        <v>43</v>
      </c>
      <c r="D23" s="8">
        <f>COUNTA('FE · Hook e API'!A5:A1000)</f>
        <v>39</v>
      </c>
    </row>
    <row r="24" spans="1:4" ht="15" x14ac:dyDescent="0.3">
      <c r="A24" s="6" t="s">
        <v>44</v>
      </c>
      <c r="B24" s="9" t="s">
        <v>38</v>
      </c>
      <c r="C24" s="8" t="s">
        <v>45</v>
      </c>
      <c r="D24" s="8">
        <f>COUNTA('FE · Auth'!A5:A1000)</f>
        <v>13</v>
      </c>
    </row>
    <row r="25" spans="1:4" ht="15" x14ac:dyDescent="0.3">
      <c r="A25" s="6" t="s">
        <v>46</v>
      </c>
      <c r="B25" s="9" t="s">
        <v>38</v>
      </c>
      <c r="C25" s="8" t="s">
        <v>47</v>
      </c>
      <c r="D25" s="8">
        <f>COUNTA('FE · Test'!A5:A1000)</f>
        <v>9</v>
      </c>
    </row>
    <row r="26" spans="1:4" ht="15" x14ac:dyDescent="0.3">
      <c r="A26" s="6" t="s">
        <v>48</v>
      </c>
      <c r="B26" s="10" t="s">
        <v>49</v>
      </c>
      <c r="C26" s="8" t="s">
        <v>50</v>
      </c>
      <c r="D26" s="8">
        <f>COUNTA('Appunti e Step'!C5:C1000)</f>
        <v>4</v>
      </c>
    </row>
    <row r="27" spans="1:4" ht="15" x14ac:dyDescent="0.3">
      <c r="A27" s="6" t="s">
        <v>51</v>
      </c>
      <c r="B27" s="10" t="s">
        <v>49</v>
      </c>
      <c r="C27" s="8" t="s">
        <v>52</v>
      </c>
      <c r="D27" s="8">
        <f>COUNTA('Fix e Bug'!E5:E1000)</f>
        <v>1</v>
      </c>
    </row>
    <row r="29" spans="1:4" ht="19.2" x14ac:dyDescent="0.45">
      <c r="A29" s="4" t="s">
        <v>53</v>
      </c>
    </row>
    <row r="30" spans="1:4" ht="15" x14ac:dyDescent="0.35">
      <c r="A30" s="5" t="s">
        <v>54</v>
      </c>
      <c r="B30" s="5" t="s">
        <v>55</v>
      </c>
      <c r="C30" s="5" t="s">
        <v>56</v>
      </c>
    </row>
    <row r="31" spans="1:4" ht="15" x14ac:dyDescent="0.3">
      <c r="A31" s="8" t="s">
        <v>57</v>
      </c>
      <c r="B31" s="8" t="s">
        <v>58</v>
      </c>
      <c r="C31" s="6" t="s">
        <v>59</v>
      </c>
    </row>
    <row r="32" spans="1:4" ht="15" x14ac:dyDescent="0.3">
      <c r="A32" s="8" t="s">
        <v>60</v>
      </c>
      <c r="B32" s="8" t="s">
        <v>61</v>
      </c>
      <c r="C32" s="6" t="s">
        <v>62</v>
      </c>
    </row>
    <row r="33" spans="1:9" ht="15" x14ac:dyDescent="0.3">
      <c r="A33" s="8" t="s">
        <v>63</v>
      </c>
      <c r="B33" s="8" t="s">
        <v>64</v>
      </c>
      <c r="C33" s="8" t="s">
        <v>65</v>
      </c>
    </row>
    <row r="34" spans="1:9" ht="19.2" x14ac:dyDescent="0.45">
      <c r="A34" s="8" t="s">
        <v>66</v>
      </c>
      <c r="B34" s="8" t="s">
        <v>67</v>
      </c>
      <c r="C34" s="6" t="s">
        <v>68</v>
      </c>
      <c r="F34" s="4" t="s">
        <v>69</v>
      </c>
    </row>
    <row r="35" spans="1:9" ht="15" x14ac:dyDescent="0.35">
      <c r="A35" s="8" t="s">
        <v>70</v>
      </c>
      <c r="B35" s="8" t="s">
        <v>71</v>
      </c>
      <c r="C35" s="6" t="s">
        <v>72</v>
      </c>
      <c r="F35" s="5" t="s">
        <v>73</v>
      </c>
      <c r="G35" s="5" t="s">
        <v>74</v>
      </c>
      <c r="H35" s="5" t="s">
        <v>75</v>
      </c>
      <c r="I35" s="5" t="s">
        <v>76</v>
      </c>
    </row>
    <row r="36" spans="1:9" ht="15" x14ac:dyDescent="0.3">
      <c r="A36" s="8" t="s">
        <v>77</v>
      </c>
      <c r="B36" s="8" t="s">
        <v>78</v>
      </c>
      <c r="C36" s="8" t="s">
        <v>79</v>
      </c>
      <c r="F36" s="8" t="s">
        <v>80</v>
      </c>
      <c r="G36" s="8">
        <f>COUNTIF('Fix e Bug'!H5:H1000,"Risolto")</f>
        <v>0</v>
      </c>
      <c r="H36" s="8" t="s">
        <v>81</v>
      </c>
      <c r="I36" s="8">
        <f>COUNTIFS('Fix e Bug'!F5:F1000,"Alta",'Fix e Bug'!H5:H1000,"&lt;&gt;Risolto",'Fix e Bug'!H5:H1000,"&lt;&gt;Scartato",'Fix e Bug'!E5:E1000,"&lt;&gt;")</f>
        <v>0</v>
      </c>
    </row>
    <row r="37" spans="1:9" ht="15" x14ac:dyDescent="0.3">
      <c r="F37" s="8" t="s">
        <v>82</v>
      </c>
      <c r="G37" s="8">
        <f>COUNTIF('Fix e Bug'!H5:H1000,"In corso")</f>
        <v>0</v>
      </c>
      <c r="H37" s="8" t="s">
        <v>83</v>
      </c>
      <c r="I37" s="8">
        <f>COUNTIFS('Fix e Bug'!F5:F1000,"Media",'Fix e Bug'!H5:H1000,"&lt;&gt;Risolto",'Fix e Bug'!H5:H1000,"&lt;&gt;Scartato",'Fix e Bug'!E5:E1000,"&lt;&gt;")</f>
        <v>0</v>
      </c>
    </row>
    <row r="38" spans="1:9" ht="19.2" x14ac:dyDescent="0.45">
      <c r="A38" s="4" t="s">
        <v>84</v>
      </c>
      <c r="F38" s="8" t="s">
        <v>85</v>
      </c>
      <c r="G38" s="8">
        <f>COUNTIF('Fix e Bug'!H5:H1000,"Aperto")</f>
        <v>1</v>
      </c>
      <c r="H38" s="8" t="s">
        <v>86</v>
      </c>
      <c r="I38" s="8">
        <f>COUNTIFS('Fix e Bug'!F5:F1000,"Bassa",'Fix e Bug'!H5:H1000,"&lt;&gt;Risolto",'Fix e Bug'!H5:H1000,"&lt;&gt;Scartato",'Fix e Bug'!E5:E1000,"&lt;&gt;")</f>
        <v>1</v>
      </c>
    </row>
    <row r="39" spans="1:9" ht="15" x14ac:dyDescent="0.35">
      <c r="A39" s="5" t="s">
        <v>87</v>
      </c>
      <c r="B39" s="5" t="s">
        <v>88</v>
      </c>
      <c r="C39" s="5" t="s">
        <v>9</v>
      </c>
      <c r="F39" s="8" t="s">
        <v>89</v>
      </c>
      <c r="G39" s="8">
        <f>COUNTIF('Fix e Bug'!H5:H1000,"Scartato")</f>
        <v>0</v>
      </c>
    </row>
    <row r="40" spans="1:9" ht="15" x14ac:dyDescent="0.3">
      <c r="A40" s="8" t="s">
        <v>90</v>
      </c>
      <c r="B40" s="8" t="s">
        <v>91</v>
      </c>
      <c r="C40" s="7" t="s">
        <v>13</v>
      </c>
    </row>
    <row r="41" spans="1:9" ht="15" x14ac:dyDescent="0.3">
      <c r="A41" s="8" t="s">
        <v>92</v>
      </c>
      <c r="B41" s="8" t="s">
        <v>93</v>
      </c>
      <c r="C41" s="7" t="s">
        <v>13</v>
      </c>
    </row>
    <row r="42" spans="1:9" ht="15" x14ac:dyDescent="0.3">
      <c r="A42" s="8" t="s">
        <v>94</v>
      </c>
      <c r="B42" s="8" t="s">
        <v>95</v>
      </c>
      <c r="C42" s="7" t="s">
        <v>13</v>
      </c>
    </row>
    <row r="43" spans="1:9" ht="15" x14ac:dyDescent="0.3">
      <c r="A43" s="8" t="s">
        <v>96</v>
      </c>
      <c r="B43" s="8" t="s">
        <v>93</v>
      </c>
      <c r="C43" s="7" t="s">
        <v>13</v>
      </c>
    </row>
    <row r="44" spans="1:9" ht="15" x14ac:dyDescent="0.3">
      <c r="A44" s="8" t="s">
        <v>97</v>
      </c>
      <c r="B44" s="8" t="s">
        <v>98</v>
      </c>
      <c r="C44" s="7" t="s">
        <v>13</v>
      </c>
    </row>
    <row r="45" spans="1:9" ht="15" x14ac:dyDescent="0.3">
      <c r="A45" s="8" t="s">
        <v>99</v>
      </c>
      <c r="B45" s="8" t="s">
        <v>100</v>
      </c>
      <c r="C45" s="7" t="s">
        <v>13</v>
      </c>
    </row>
    <row r="46" spans="1:9" ht="15" x14ac:dyDescent="0.3">
      <c r="A46" s="8" t="s">
        <v>101</v>
      </c>
      <c r="B46" s="8" t="s">
        <v>102</v>
      </c>
      <c r="C46" s="7" t="s">
        <v>13</v>
      </c>
    </row>
    <row r="47" spans="1:9" ht="15" x14ac:dyDescent="0.3">
      <c r="A47" s="8" t="s">
        <v>103</v>
      </c>
      <c r="B47" s="8" t="s">
        <v>104</v>
      </c>
      <c r="C47" s="7" t="s">
        <v>13</v>
      </c>
    </row>
    <row r="48" spans="1:9" ht="15" x14ac:dyDescent="0.3">
      <c r="A48" s="8" t="s">
        <v>105</v>
      </c>
      <c r="B48" s="8" t="s">
        <v>95</v>
      </c>
      <c r="C48" s="7" t="s">
        <v>13</v>
      </c>
    </row>
    <row r="49" spans="1:3" ht="15" x14ac:dyDescent="0.3">
      <c r="A49" s="8" t="s">
        <v>106</v>
      </c>
      <c r="B49" s="8" t="s">
        <v>107</v>
      </c>
      <c r="C49" s="7" t="s">
        <v>13</v>
      </c>
    </row>
    <row r="50" spans="1:3" ht="15" x14ac:dyDescent="0.3">
      <c r="A50" s="8" t="s">
        <v>108</v>
      </c>
      <c r="B50" s="8" t="s">
        <v>109</v>
      </c>
      <c r="C50" s="9" t="s">
        <v>38</v>
      </c>
    </row>
    <row r="51" spans="1:3" ht="15" x14ac:dyDescent="0.3">
      <c r="A51" s="8" t="s">
        <v>110</v>
      </c>
      <c r="B51" s="8" t="s">
        <v>111</v>
      </c>
      <c r="C51" s="9" t="s">
        <v>38</v>
      </c>
    </row>
    <row r="52" spans="1:3" ht="15" x14ac:dyDescent="0.3">
      <c r="A52" s="8" t="s">
        <v>67</v>
      </c>
      <c r="B52" s="8" t="s">
        <v>112</v>
      </c>
      <c r="C52" s="9" t="s">
        <v>38</v>
      </c>
    </row>
    <row r="53" spans="1:3" ht="15" x14ac:dyDescent="0.3">
      <c r="A53" s="8" t="s">
        <v>113</v>
      </c>
      <c r="B53" s="8" t="s">
        <v>114</v>
      </c>
      <c r="C53" s="9" t="s">
        <v>38</v>
      </c>
    </row>
    <row r="54" spans="1:3" ht="15" x14ac:dyDescent="0.3">
      <c r="A54" s="8" t="s">
        <v>115</v>
      </c>
      <c r="B54" s="8" t="s">
        <v>116</v>
      </c>
      <c r="C54" s="9" t="s">
        <v>38</v>
      </c>
    </row>
    <row r="55" spans="1:3" ht="15" x14ac:dyDescent="0.3">
      <c r="A55" s="8" t="s">
        <v>117</v>
      </c>
      <c r="B55" s="8" t="s">
        <v>118</v>
      </c>
      <c r="C55" s="9" t="s">
        <v>38</v>
      </c>
    </row>
    <row r="56" spans="1:3" ht="15" x14ac:dyDescent="0.3">
      <c r="A56" s="8" t="s">
        <v>119</v>
      </c>
      <c r="B56" s="8" t="s">
        <v>120</v>
      </c>
      <c r="C56" s="9" t="s">
        <v>38</v>
      </c>
    </row>
    <row r="57" spans="1:3" ht="15" x14ac:dyDescent="0.3">
      <c r="A57" s="8" t="s">
        <v>121</v>
      </c>
      <c r="B57" s="8" t="s">
        <v>122</v>
      </c>
      <c r="C57" s="9" t="s">
        <v>38</v>
      </c>
    </row>
    <row r="58" spans="1:3" ht="15" x14ac:dyDescent="0.3">
      <c r="A58" s="8" t="s">
        <v>123</v>
      </c>
      <c r="B58" s="8" t="s">
        <v>124</v>
      </c>
      <c r="C58" s="9" t="s">
        <v>38</v>
      </c>
    </row>
    <row r="59" spans="1:3" ht="15" x14ac:dyDescent="0.3">
      <c r="A59" s="8" t="s">
        <v>125</v>
      </c>
      <c r="B59" s="8" t="s">
        <v>79</v>
      </c>
      <c r="C59" s="11" t="s">
        <v>126</v>
      </c>
    </row>
    <row r="60" spans="1:3" ht="15" x14ac:dyDescent="0.3">
      <c r="A60" s="8" t="s">
        <v>127</v>
      </c>
      <c r="B60" s="8" t="s">
        <v>79</v>
      </c>
      <c r="C60" s="11" t="s">
        <v>126</v>
      </c>
    </row>
    <row r="62" spans="1:3" ht="19.2" x14ac:dyDescent="0.45">
      <c r="A62" s="4" t="s">
        <v>128</v>
      </c>
    </row>
    <row r="63" spans="1:3" ht="15" x14ac:dyDescent="0.35">
      <c r="A63" s="5" t="s">
        <v>129</v>
      </c>
      <c r="B63" s="5" t="s">
        <v>130</v>
      </c>
      <c r="C63" s="5" t="s">
        <v>55</v>
      </c>
    </row>
    <row r="64" spans="1:3" ht="15" x14ac:dyDescent="0.3">
      <c r="A64" s="8" t="s">
        <v>131</v>
      </c>
      <c r="B64" s="8" t="s">
        <v>132</v>
      </c>
      <c r="C64" s="8" t="s">
        <v>133</v>
      </c>
    </row>
    <row r="65" spans="1:3" ht="15" x14ac:dyDescent="0.3">
      <c r="A65" s="8" t="s">
        <v>134</v>
      </c>
      <c r="B65" s="8" t="s">
        <v>135</v>
      </c>
      <c r="C65" s="8" t="s">
        <v>133</v>
      </c>
    </row>
    <row r="66" spans="1:3" ht="30" x14ac:dyDescent="0.3">
      <c r="A66" s="8" t="s">
        <v>136</v>
      </c>
      <c r="B66" s="8" t="s">
        <v>137</v>
      </c>
      <c r="C66" s="8" t="s">
        <v>133</v>
      </c>
    </row>
    <row r="67" spans="1:3" ht="15" x14ac:dyDescent="0.3">
      <c r="A67" s="8" t="s">
        <v>138</v>
      </c>
      <c r="B67" s="8" t="s">
        <v>139</v>
      </c>
      <c r="C67" s="8" t="s">
        <v>140</v>
      </c>
    </row>
    <row r="68" spans="1:3" ht="45" x14ac:dyDescent="0.3">
      <c r="A68" s="8" t="s">
        <v>141</v>
      </c>
      <c r="B68" s="8" t="s">
        <v>142</v>
      </c>
      <c r="C68" s="8" t="s">
        <v>140</v>
      </c>
    </row>
  </sheetData>
  <mergeCells count="7">
    <mergeCell ref="A4:B4"/>
    <mergeCell ref="A5:B5"/>
    <mergeCell ref="A1:I1"/>
    <mergeCell ref="H5:I5"/>
    <mergeCell ref="H4:I4"/>
    <mergeCell ref="D5:G5"/>
    <mergeCell ref="D4:G4"/>
  </mergeCells>
  <hyperlinks>
    <hyperlink ref="A9" location="'BE · Models'!A1" display="BE · Models" xr:uid="{00000000-0004-0000-0000-000000000000}"/>
    <hyperlink ref="A10" location="'BE · DTO'!A1" display="BE · DTO" xr:uid="{00000000-0004-0000-0000-000001000000}"/>
    <hyperlink ref="A11" location="'BE · Repository'!A1" display="BE · Repository" xr:uid="{00000000-0004-0000-0000-000002000000}"/>
    <hyperlink ref="A12" location="'BE · Services'!A1" display="BE · Services" xr:uid="{00000000-0004-0000-0000-000003000000}"/>
    <hyperlink ref="A13" location="'BE · Controllers'!A1" display="BE · Controllers" xr:uid="{00000000-0004-0000-0000-000004000000}"/>
    <hyperlink ref="A14" location="'BE · Method'!A1" display="BE · Method" xr:uid="{00000000-0004-0000-0000-000005000000}"/>
    <hyperlink ref="A15" location="'BE · Validators'!A1" display="BE · Validators" xr:uid="{00000000-0004-0000-0000-000006000000}"/>
    <hyperlink ref="A16" location="'BE · Infrastruttura'!A1" display="BE · Infrastruttura" xr:uid="{00000000-0004-0000-0000-000007000000}"/>
    <hyperlink ref="A17" location="'BE · Test'!A1" display="BE · Test" xr:uid="{00000000-0004-0000-0000-000008000000}"/>
    <hyperlink ref="A18" location="'BE · Auth e Security'!A1" display="BE · Auth e Security" xr:uid="{00000000-0004-0000-0000-000009000000}"/>
    <hyperlink ref="A19" location="'BE · Jobs'!A1" display="BE · Jobs" xr:uid="{00000000-0004-0000-0000-00000A000000}"/>
    <hyperlink ref="A20" location="'BE · Migration'!A1" display="BE · Migration" xr:uid="{00000000-0004-0000-0000-00000B000000}"/>
    <hyperlink ref="A21" location="'FE · Pagine'!A1" display="FE · Pagine" xr:uid="{00000000-0004-0000-0000-00000C000000}"/>
    <hyperlink ref="A22" location="'FE · Componenti'!A1" display="FE · Componenti" xr:uid="{00000000-0004-0000-0000-00000D000000}"/>
    <hyperlink ref="A23" location="'FE · Hook e API'!A1" display="FE · Hook e API" xr:uid="{00000000-0004-0000-0000-00000E000000}"/>
    <hyperlink ref="A24" location="'FE · Auth'!A1" display="FE · Auth" xr:uid="{00000000-0004-0000-0000-00000F000000}"/>
    <hyperlink ref="A25" location="'FE · Test'!A1" display="FE · Test" xr:uid="{00000000-0004-0000-0000-000010000000}"/>
    <hyperlink ref="A26" location="'Appunti e Step'!A1" display="Appunti e Step" xr:uid="{00000000-0004-0000-0000-000011000000}"/>
    <hyperlink ref="A27" location="'Fix e Bug'!A1" display="Fix e Bug" xr:uid="{00000000-0004-0000-0000-000012000000}"/>
    <hyperlink ref="C31" r:id="rId1" xr:uid="{00000000-0004-0000-0000-000013000000}"/>
    <hyperlink ref="C32" r:id="rId2" xr:uid="{00000000-0004-0000-0000-000014000000}"/>
    <hyperlink ref="C34" r:id="rId3" xr:uid="{00000000-0004-0000-0000-000015000000}"/>
    <hyperlink ref="C35" r:id="rId4" xr:uid="{00000000-0004-0000-0000-000016000000}"/>
  </hyperlinks>
  <pageMargins left="0.75" right="0.75" top="1" bottom="1" header="0.5" footer="0.5"/>
  <drawing r:id="rId5"/>
  <tableParts count="6">
    <tablePart r:id="rId6"/>
    <tablePart r:id="rId7"/>
    <tablePart r:id="rId8"/>
    <tablePart r:id="rId9"/>
    <tablePart r:id="rId10"/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5FAD"/>
  </sheetPr>
  <dimension ref="A1:F48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6" customWidth="1"/>
    <col min="2" max="2" width="22" customWidth="1"/>
    <col min="3" max="3" width="24" customWidth="1"/>
    <col min="4" max="4" width="22" customWidth="1"/>
    <col min="5" max="5" width="16" customWidth="1"/>
    <col min="6" max="6" width="70" customWidth="1"/>
  </cols>
  <sheetData>
    <row r="1" spans="1:6" ht="34.049999999999997" customHeight="1" x14ac:dyDescent="0.3">
      <c r="A1" s="28" t="s">
        <v>143</v>
      </c>
      <c r="B1" s="29"/>
      <c r="C1" s="29"/>
      <c r="D1" s="29"/>
      <c r="E1" s="29"/>
      <c r="F1" s="29"/>
    </row>
    <row r="2" spans="1:6" ht="19.95" customHeight="1" x14ac:dyDescent="0.35">
      <c r="A2" s="1" t="s">
        <v>144</v>
      </c>
      <c r="F2" s="12" t="s">
        <v>145</v>
      </c>
    </row>
    <row r="4" spans="1:6" ht="24" customHeight="1" x14ac:dyDescent="0.3">
      <c r="A4" s="13" t="s">
        <v>146</v>
      </c>
      <c r="B4" s="13" t="s">
        <v>147</v>
      </c>
      <c r="C4" s="13" t="s">
        <v>148</v>
      </c>
      <c r="D4" s="13" t="s">
        <v>149</v>
      </c>
      <c r="E4" s="13" t="s">
        <v>150</v>
      </c>
      <c r="F4" s="13" t="s">
        <v>151</v>
      </c>
    </row>
    <row r="5" spans="1:6" ht="15" x14ac:dyDescent="0.3">
      <c r="A5" s="14" t="s">
        <v>152</v>
      </c>
      <c r="B5" s="14" t="s">
        <v>153</v>
      </c>
      <c r="C5" s="14" t="s">
        <v>154</v>
      </c>
      <c r="D5" s="14" t="s">
        <v>155</v>
      </c>
      <c r="E5" s="14" t="s">
        <v>156</v>
      </c>
      <c r="F5" s="8" t="s">
        <v>157</v>
      </c>
    </row>
    <row r="6" spans="1:6" ht="15" x14ac:dyDescent="0.3">
      <c r="A6" s="14" t="s">
        <v>152</v>
      </c>
      <c r="B6" s="14" t="s">
        <v>153</v>
      </c>
      <c r="C6" s="14" t="s">
        <v>158</v>
      </c>
      <c r="D6" s="14" t="s">
        <v>159</v>
      </c>
      <c r="E6" s="14" t="s">
        <v>156</v>
      </c>
      <c r="F6" s="8" t="s">
        <v>160</v>
      </c>
    </row>
    <row r="7" spans="1:6" ht="15" x14ac:dyDescent="0.3">
      <c r="A7" s="14" t="s">
        <v>152</v>
      </c>
      <c r="B7" s="14" t="s">
        <v>153</v>
      </c>
      <c r="C7" s="14" t="s">
        <v>161</v>
      </c>
      <c r="D7" s="14" t="s">
        <v>162</v>
      </c>
      <c r="E7" s="14" t="s">
        <v>156</v>
      </c>
      <c r="F7" s="8" t="s">
        <v>163</v>
      </c>
    </row>
    <row r="8" spans="1:6" ht="15" x14ac:dyDescent="0.3">
      <c r="A8" s="14" t="s">
        <v>152</v>
      </c>
      <c r="B8" s="14" t="s">
        <v>153</v>
      </c>
      <c r="C8" s="14" t="s">
        <v>164</v>
      </c>
      <c r="D8" s="14" t="s">
        <v>165</v>
      </c>
      <c r="E8" s="14" t="s">
        <v>79</v>
      </c>
      <c r="F8" s="8" t="s">
        <v>166</v>
      </c>
    </row>
    <row r="9" spans="1:6" ht="15" x14ac:dyDescent="0.3">
      <c r="A9" s="14" t="s">
        <v>167</v>
      </c>
      <c r="B9" s="14" t="s">
        <v>164</v>
      </c>
      <c r="C9" s="14" t="s">
        <v>154</v>
      </c>
      <c r="D9" s="14" t="s">
        <v>155</v>
      </c>
      <c r="E9" s="14" t="s">
        <v>156</v>
      </c>
      <c r="F9" s="8" t="s">
        <v>157</v>
      </c>
    </row>
    <row r="10" spans="1:6" ht="15" x14ac:dyDescent="0.3">
      <c r="A10" s="14" t="s">
        <v>167</v>
      </c>
      <c r="B10" s="14" t="s">
        <v>164</v>
      </c>
      <c r="C10" s="14" t="s">
        <v>168</v>
      </c>
      <c r="D10" s="14" t="s">
        <v>169</v>
      </c>
      <c r="E10" s="14" t="s">
        <v>156</v>
      </c>
      <c r="F10" s="8" t="s">
        <v>170</v>
      </c>
    </row>
    <row r="11" spans="1:6" ht="15" x14ac:dyDescent="0.3">
      <c r="A11" s="14" t="s">
        <v>167</v>
      </c>
      <c r="B11" s="14" t="s">
        <v>164</v>
      </c>
      <c r="C11" s="14" t="s">
        <v>171</v>
      </c>
      <c r="D11" s="14" t="s">
        <v>169</v>
      </c>
      <c r="E11" s="14" t="s">
        <v>156</v>
      </c>
      <c r="F11" s="8" t="s">
        <v>172</v>
      </c>
    </row>
    <row r="12" spans="1:6" ht="15" x14ac:dyDescent="0.3">
      <c r="A12" s="14" t="s">
        <v>167</v>
      </c>
      <c r="B12" s="14" t="s">
        <v>164</v>
      </c>
      <c r="C12" s="14" t="s">
        <v>161</v>
      </c>
      <c r="D12" s="14" t="s">
        <v>162</v>
      </c>
      <c r="E12" s="14" t="s">
        <v>156</v>
      </c>
      <c r="F12" s="8" t="s">
        <v>173</v>
      </c>
    </row>
    <row r="13" spans="1:6" ht="15" x14ac:dyDescent="0.3">
      <c r="A13" s="14" t="s">
        <v>167</v>
      </c>
      <c r="B13" s="14" t="s">
        <v>164</v>
      </c>
      <c r="C13" s="14" t="s">
        <v>174</v>
      </c>
      <c r="D13" s="14" t="s">
        <v>155</v>
      </c>
      <c r="E13" s="14" t="s">
        <v>156</v>
      </c>
      <c r="F13" s="8" t="s">
        <v>175</v>
      </c>
    </row>
    <row r="14" spans="1:6" ht="15" x14ac:dyDescent="0.3">
      <c r="A14" s="14" t="s">
        <v>167</v>
      </c>
      <c r="B14" s="14" t="s">
        <v>164</v>
      </c>
      <c r="C14" s="14" t="s">
        <v>176</v>
      </c>
      <c r="D14" s="14" t="s">
        <v>177</v>
      </c>
      <c r="E14" s="14" t="s">
        <v>79</v>
      </c>
      <c r="F14" s="8" t="s">
        <v>178</v>
      </c>
    </row>
    <row r="15" spans="1:6" ht="15" x14ac:dyDescent="0.3">
      <c r="A15" s="14" t="s">
        <v>179</v>
      </c>
      <c r="B15" s="14" t="s">
        <v>180</v>
      </c>
      <c r="C15" s="14" t="s">
        <v>154</v>
      </c>
      <c r="D15" s="14" t="s">
        <v>155</v>
      </c>
      <c r="E15" s="14" t="s">
        <v>156</v>
      </c>
      <c r="F15" s="8" t="s">
        <v>157</v>
      </c>
    </row>
    <row r="16" spans="1:6" ht="15" x14ac:dyDescent="0.3">
      <c r="A16" s="14" t="s">
        <v>179</v>
      </c>
      <c r="B16" s="14" t="s">
        <v>180</v>
      </c>
      <c r="C16" s="14" t="s">
        <v>181</v>
      </c>
      <c r="D16" s="14" t="s">
        <v>182</v>
      </c>
      <c r="E16" s="14" t="s">
        <v>156</v>
      </c>
      <c r="F16" s="8" t="s">
        <v>183</v>
      </c>
    </row>
    <row r="17" spans="1:6" ht="15" x14ac:dyDescent="0.3">
      <c r="A17" s="14" t="s">
        <v>179</v>
      </c>
      <c r="B17" s="14" t="s">
        <v>180</v>
      </c>
      <c r="C17" s="14" t="s">
        <v>184</v>
      </c>
      <c r="D17" s="14" t="s">
        <v>185</v>
      </c>
      <c r="E17" s="14" t="s">
        <v>156</v>
      </c>
      <c r="F17" s="8" t="s">
        <v>186</v>
      </c>
    </row>
    <row r="18" spans="1:6" ht="15" x14ac:dyDescent="0.3">
      <c r="A18" s="14" t="s">
        <v>179</v>
      </c>
      <c r="B18" s="14" t="s">
        <v>180</v>
      </c>
      <c r="C18" s="14" t="s">
        <v>187</v>
      </c>
      <c r="D18" s="14" t="s">
        <v>185</v>
      </c>
      <c r="E18" s="14" t="s">
        <v>156</v>
      </c>
      <c r="F18" s="8" t="s">
        <v>188</v>
      </c>
    </row>
    <row r="19" spans="1:6" ht="15" x14ac:dyDescent="0.3">
      <c r="A19" s="14" t="s">
        <v>179</v>
      </c>
      <c r="B19" s="14" t="s">
        <v>180</v>
      </c>
      <c r="C19" s="14" t="s">
        <v>189</v>
      </c>
      <c r="D19" s="14" t="s">
        <v>169</v>
      </c>
      <c r="E19" s="14" t="s">
        <v>156</v>
      </c>
      <c r="F19" s="8" t="s">
        <v>190</v>
      </c>
    </row>
    <row r="20" spans="1:6" ht="15" x14ac:dyDescent="0.3">
      <c r="A20" s="14" t="s">
        <v>179</v>
      </c>
      <c r="B20" s="14" t="s">
        <v>180</v>
      </c>
      <c r="C20" s="14" t="s">
        <v>161</v>
      </c>
      <c r="D20" s="14" t="s">
        <v>162</v>
      </c>
      <c r="E20" s="14" t="s">
        <v>156</v>
      </c>
      <c r="F20" s="8" t="s">
        <v>191</v>
      </c>
    </row>
    <row r="21" spans="1:6" ht="15" x14ac:dyDescent="0.3">
      <c r="A21" s="14" t="s">
        <v>179</v>
      </c>
      <c r="B21" s="14" t="s">
        <v>180</v>
      </c>
      <c r="C21" s="14" t="s">
        <v>192</v>
      </c>
      <c r="D21" s="14" t="s">
        <v>193</v>
      </c>
      <c r="E21" s="14" t="s">
        <v>79</v>
      </c>
      <c r="F21" s="8" t="s">
        <v>194</v>
      </c>
    </row>
    <row r="22" spans="1:6" ht="15" x14ac:dyDescent="0.3">
      <c r="A22" s="14" t="s">
        <v>195</v>
      </c>
      <c r="B22" s="14" t="s">
        <v>192</v>
      </c>
      <c r="C22" s="14" t="s">
        <v>154</v>
      </c>
      <c r="D22" s="14" t="s">
        <v>155</v>
      </c>
      <c r="E22" s="14" t="s">
        <v>156</v>
      </c>
      <c r="F22" s="8" t="s">
        <v>157</v>
      </c>
    </row>
    <row r="23" spans="1:6" ht="15" x14ac:dyDescent="0.3">
      <c r="A23" s="14" t="s">
        <v>195</v>
      </c>
      <c r="B23" s="14" t="s">
        <v>192</v>
      </c>
      <c r="C23" s="14" t="s">
        <v>196</v>
      </c>
      <c r="D23" s="14" t="s">
        <v>197</v>
      </c>
      <c r="E23" s="14" t="s">
        <v>156</v>
      </c>
      <c r="F23" s="8" t="s">
        <v>198</v>
      </c>
    </row>
    <row r="24" spans="1:6" ht="15" x14ac:dyDescent="0.3">
      <c r="A24" s="14" t="s">
        <v>195</v>
      </c>
      <c r="B24" s="14" t="s">
        <v>192</v>
      </c>
      <c r="C24" s="14" t="s">
        <v>199</v>
      </c>
      <c r="D24" s="14" t="s">
        <v>169</v>
      </c>
      <c r="E24" s="14" t="s">
        <v>156</v>
      </c>
      <c r="F24" s="8" t="s">
        <v>200</v>
      </c>
    </row>
    <row r="25" spans="1:6" ht="15" x14ac:dyDescent="0.3">
      <c r="A25" s="14" t="s">
        <v>195</v>
      </c>
      <c r="B25" s="14" t="s">
        <v>192</v>
      </c>
      <c r="C25" s="14" t="s">
        <v>73</v>
      </c>
      <c r="D25" s="14" t="s">
        <v>201</v>
      </c>
      <c r="E25" s="14" t="s">
        <v>156</v>
      </c>
      <c r="F25" s="8" t="s">
        <v>202</v>
      </c>
    </row>
    <row r="26" spans="1:6" ht="15" x14ac:dyDescent="0.3">
      <c r="A26" s="14" t="s">
        <v>195</v>
      </c>
      <c r="B26" s="14" t="s">
        <v>192</v>
      </c>
      <c r="C26" s="14" t="s">
        <v>151</v>
      </c>
      <c r="D26" s="14" t="s">
        <v>159</v>
      </c>
      <c r="E26" s="14" t="s">
        <v>203</v>
      </c>
      <c r="F26" s="8" t="s">
        <v>204</v>
      </c>
    </row>
    <row r="27" spans="1:6" ht="15" x14ac:dyDescent="0.3">
      <c r="A27" s="14" t="s">
        <v>195</v>
      </c>
      <c r="B27" s="14" t="s">
        <v>192</v>
      </c>
      <c r="C27" s="14" t="s">
        <v>205</v>
      </c>
      <c r="D27" s="14" t="s">
        <v>159</v>
      </c>
      <c r="E27" s="14" t="s">
        <v>203</v>
      </c>
      <c r="F27" s="8" t="s">
        <v>206</v>
      </c>
    </row>
    <row r="28" spans="1:6" ht="15" x14ac:dyDescent="0.3">
      <c r="A28" s="14" t="s">
        <v>195</v>
      </c>
      <c r="B28" s="14" t="s">
        <v>192</v>
      </c>
      <c r="C28" s="14" t="s">
        <v>207</v>
      </c>
      <c r="D28" s="14" t="s">
        <v>159</v>
      </c>
      <c r="E28" s="14" t="s">
        <v>156</v>
      </c>
      <c r="F28" s="8" t="s">
        <v>208</v>
      </c>
    </row>
    <row r="29" spans="1:6" ht="15" x14ac:dyDescent="0.3">
      <c r="A29" s="14" t="s">
        <v>195</v>
      </c>
      <c r="B29" s="14" t="s">
        <v>192</v>
      </c>
      <c r="C29" s="14" t="s">
        <v>209</v>
      </c>
      <c r="D29" s="14" t="s">
        <v>155</v>
      </c>
      <c r="E29" s="14" t="s">
        <v>156</v>
      </c>
      <c r="F29" s="8" t="s">
        <v>210</v>
      </c>
    </row>
    <row r="30" spans="1:6" ht="15" x14ac:dyDescent="0.3">
      <c r="A30" s="14" t="s">
        <v>195</v>
      </c>
      <c r="B30" s="14" t="s">
        <v>192</v>
      </c>
      <c r="C30" s="14" t="s">
        <v>176</v>
      </c>
      <c r="D30" s="14" t="s">
        <v>177</v>
      </c>
      <c r="E30" s="14" t="s">
        <v>79</v>
      </c>
      <c r="F30" s="8" t="s">
        <v>211</v>
      </c>
    </row>
    <row r="31" spans="1:6" ht="15" x14ac:dyDescent="0.3">
      <c r="A31" s="14" t="s">
        <v>212</v>
      </c>
      <c r="B31" s="14" t="s">
        <v>176</v>
      </c>
      <c r="C31" s="14" t="s">
        <v>213</v>
      </c>
      <c r="D31" s="14" t="s">
        <v>155</v>
      </c>
      <c r="E31" s="14" t="s">
        <v>156</v>
      </c>
      <c r="F31" s="8" t="s">
        <v>214</v>
      </c>
    </row>
    <row r="32" spans="1:6" ht="15" x14ac:dyDescent="0.3">
      <c r="A32" s="14" t="s">
        <v>212</v>
      </c>
      <c r="B32" s="14" t="s">
        <v>176</v>
      </c>
      <c r="C32" s="14" t="s">
        <v>215</v>
      </c>
      <c r="D32" s="14" t="s">
        <v>155</v>
      </c>
      <c r="E32" s="14" t="s">
        <v>156</v>
      </c>
      <c r="F32" s="8" t="s">
        <v>216</v>
      </c>
    </row>
    <row r="33" spans="1:6" ht="15" x14ac:dyDescent="0.3">
      <c r="A33" s="14" t="s">
        <v>212</v>
      </c>
      <c r="B33" s="14" t="s">
        <v>176</v>
      </c>
      <c r="C33" s="14" t="s">
        <v>217</v>
      </c>
      <c r="D33" s="14" t="s">
        <v>169</v>
      </c>
      <c r="E33" s="14" t="s">
        <v>156</v>
      </c>
      <c r="F33" s="8" t="s">
        <v>218</v>
      </c>
    </row>
    <row r="34" spans="1:6" ht="15" x14ac:dyDescent="0.3">
      <c r="A34" s="14" t="s">
        <v>212</v>
      </c>
      <c r="B34" s="14" t="s">
        <v>176</v>
      </c>
      <c r="C34" s="14" t="s">
        <v>196</v>
      </c>
      <c r="D34" s="14" t="s">
        <v>197</v>
      </c>
      <c r="E34" s="14" t="s">
        <v>156</v>
      </c>
      <c r="F34" s="8" t="s">
        <v>219</v>
      </c>
    </row>
    <row r="35" spans="1:6" ht="15" x14ac:dyDescent="0.3">
      <c r="A35" s="14" t="s">
        <v>212</v>
      </c>
      <c r="B35" s="14" t="s">
        <v>176</v>
      </c>
      <c r="C35" s="14" t="s">
        <v>209</v>
      </c>
      <c r="D35" s="14" t="s">
        <v>155</v>
      </c>
      <c r="E35" s="14" t="s">
        <v>156</v>
      </c>
      <c r="F35" s="8" t="s">
        <v>220</v>
      </c>
    </row>
    <row r="36" spans="1:6" ht="15" x14ac:dyDescent="0.3">
      <c r="A36" s="14" t="s">
        <v>221</v>
      </c>
      <c r="B36" s="14" t="s">
        <v>222</v>
      </c>
      <c r="C36" s="14" t="s">
        <v>154</v>
      </c>
      <c r="D36" s="14" t="s">
        <v>155</v>
      </c>
      <c r="E36" s="14" t="s">
        <v>156</v>
      </c>
      <c r="F36" s="8" t="s">
        <v>157</v>
      </c>
    </row>
    <row r="37" spans="1:6" ht="15" x14ac:dyDescent="0.3">
      <c r="A37" s="14" t="s">
        <v>221</v>
      </c>
      <c r="B37" s="14" t="s">
        <v>222</v>
      </c>
      <c r="C37" s="14" t="s">
        <v>207</v>
      </c>
      <c r="D37" s="14" t="s">
        <v>159</v>
      </c>
      <c r="E37" s="14" t="s">
        <v>156</v>
      </c>
      <c r="F37" s="8" t="s">
        <v>223</v>
      </c>
    </row>
    <row r="38" spans="1:6" ht="15" x14ac:dyDescent="0.3">
      <c r="A38" s="14" t="s">
        <v>221</v>
      </c>
      <c r="B38" s="14" t="s">
        <v>222</v>
      </c>
      <c r="C38" s="14" t="s">
        <v>224</v>
      </c>
      <c r="D38" s="14" t="s">
        <v>159</v>
      </c>
      <c r="E38" s="14" t="s">
        <v>156</v>
      </c>
      <c r="F38" s="8" t="s">
        <v>225</v>
      </c>
    </row>
    <row r="39" spans="1:6" ht="15" x14ac:dyDescent="0.3">
      <c r="A39" s="14" t="s">
        <v>221</v>
      </c>
      <c r="B39" s="14" t="s">
        <v>222</v>
      </c>
      <c r="C39" s="14" t="s">
        <v>226</v>
      </c>
      <c r="D39" s="14" t="s">
        <v>227</v>
      </c>
      <c r="E39" s="14" t="s">
        <v>156</v>
      </c>
      <c r="F39" s="8" t="s">
        <v>228</v>
      </c>
    </row>
    <row r="40" spans="1:6" ht="15" x14ac:dyDescent="0.3">
      <c r="A40" s="14" t="s">
        <v>221</v>
      </c>
      <c r="B40" s="14" t="s">
        <v>222</v>
      </c>
      <c r="C40" s="14" t="s">
        <v>229</v>
      </c>
      <c r="D40" s="14" t="s">
        <v>159</v>
      </c>
      <c r="E40" s="14" t="s">
        <v>203</v>
      </c>
      <c r="F40" s="8" t="s">
        <v>230</v>
      </c>
    </row>
    <row r="41" spans="1:6" ht="15" x14ac:dyDescent="0.3">
      <c r="A41" s="14" t="s">
        <v>231</v>
      </c>
      <c r="B41" s="14" t="s">
        <v>232</v>
      </c>
      <c r="C41" s="14" t="s">
        <v>233</v>
      </c>
      <c r="D41" s="14" t="s">
        <v>234</v>
      </c>
      <c r="E41" s="14" t="s">
        <v>156</v>
      </c>
      <c r="F41" s="8" t="s">
        <v>235</v>
      </c>
    </row>
    <row r="42" spans="1:6" ht="15" x14ac:dyDescent="0.3">
      <c r="A42" s="14" t="s">
        <v>231</v>
      </c>
      <c r="B42" s="14" t="s">
        <v>232</v>
      </c>
      <c r="C42" s="14" t="s">
        <v>192</v>
      </c>
      <c r="D42" s="14" t="s">
        <v>193</v>
      </c>
      <c r="E42" s="14" t="s">
        <v>79</v>
      </c>
      <c r="F42" s="8" t="s">
        <v>236</v>
      </c>
    </row>
    <row r="43" spans="1:6" ht="15" x14ac:dyDescent="0.3">
      <c r="A43" s="14" t="s">
        <v>237</v>
      </c>
      <c r="B43" s="14" t="s">
        <v>238</v>
      </c>
      <c r="C43" s="14" t="s">
        <v>239</v>
      </c>
      <c r="D43" s="14" t="s">
        <v>159</v>
      </c>
      <c r="E43" s="14" t="s">
        <v>156</v>
      </c>
      <c r="F43" s="8" t="s">
        <v>240</v>
      </c>
    </row>
    <row r="44" spans="1:6" ht="15" x14ac:dyDescent="0.3">
      <c r="A44" s="14" t="s">
        <v>241</v>
      </c>
      <c r="B44" s="14" t="s">
        <v>79</v>
      </c>
      <c r="C44" s="14" t="s">
        <v>242</v>
      </c>
      <c r="D44" s="14" t="s">
        <v>243</v>
      </c>
      <c r="E44" s="14" t="s">
        <v>79</v>
      </c>
      <c r="F44" s="8" t="s">
        <v>244</v>
      </c>
    </row>
    <row r="45" spans="1:6" ht="15" x14ac:dyDescent="0.3">
      <c r="A45" s="14" t="s">
        <v>241</v>
      </c>
      <c r="B45" s="14" t="s">
        <v>79</v>
      </c>
      <c r="C45" s="14" t="s">
        <v>245</v>
      </c>
      <c r="D45" s="14" t="s">
        <v>243</v>
      </c>
      <c r="E45" s="14" t="s">
        <v>79</v>
      </c>
      <c r="F45" s="8" t="s">
        <v>246</v>
      </c>
    </row>
    <row r="46" spans="1:6" ht="15" x14ac:dyDescent="0.3">
      <c r="A46" s="14" t="s">
        <v>241</v>
      </c>
      <c r="B46" s="14" t="s">
        <v>79</v>
      </c>
      <c r="C46" s="14" t="s">
        <v>247</v>
      </c>
      <c r="D46" s="14" t="s">
        <v>243</v>
      </c>
      <c r="E46" s="14" t="s">
        <v>79</v>
      </c>
      <c r="F46" s="8" t="s">
        <v>248</v>
      </c>
    </row>
    <row r="47" spans="1:6" ht="15" x14ac:dyDescent="0.3">
      <c r="A47" s="14" t="s">
        <v>241</v>
      </c>
      <c r="B47" s="14" t="s">
        <v>79</v>
      </c>
      <c r="C47" s="14" t="s">
        <v>249</v>
      </c>
      <c r="D47" s="14" t="s">
        <v>243</v>
      </c>
      <c r="E47" s="14" t="s">
        <v>79</v>
      </c>
      <c r="F47" s="8" t="s">
        <v>250</v>
      </c>
    </row>
    <row r="48" spans="1:6" ht="15" x14ac:dyDescent="0.3">
      <c r="A48" s="14" t="s">
        <v>241</v>
      </c>
      <c r="B48" s="14" t="s">
        <v>79</v>
      </c>
      <c r="C48" s="14" t="s">
        <v>251</v>
      </c>
      <c r="D48" s="14" t="s">
        <v>243</v>
      </c>
      <c r="E48" s="14" t="s">
        <v>79</v>
      </c>
      <c r="F48" s="8" t="s">
        <v>252</v>
      </c>
    </row>
  </sheetData>
  <mergeCells count="1">
    <mergeCell ref="A1:F1"/>
  </mergeCells>
  <conditionalFormatting sqref="E5:E1000">
    <cfRule type="expression" dxfId="59" priority="1">
      <formula>$E5="Sì"</formula>
    </cfRule>
    <cfRule type="expression" dxfId="58" priority="2">
      <formula>$E5="No"</formula>
    </cfRule>
  </conditionalFormatting>
  <hyperlinks>
    <hyperlink ref="F2" location="'Dashboard'!A1" display="← Torna alla Dashboard" xr:uid="{00000000-0004-0000-0100-000000000000}"/>
  </hyperlink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5FAD"/>
  </sheetPr>
  <dimension ref="A1:D36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0" customWidth="1"/>
    <col min="2" max="2" width="16" customWidth="1"/>
    <col min="3" max="3" width="50" customWidth="1"/>
    <col min="4" max="4" width="70" customWidth="1"/>
  </cols>
  <sheetData>
    <row r="1" spans="1:4" ht="34.049999999999997" customHeight="1" x14ac:dyDescent="0.3">
      <c r="A1" s="28" t="s">
        <v>253</v>
      </c>
      <c r="B1" s="29"/>
      <c r="C1" s="29"/>
      <c r="D1" s="29"/>
    </row>
    <row r="2" spans="1:4" ht="19.95" customHeight="1" x14ac:dyDescent="0.35">
      <c r="A2" s="1" t="s">
        <v>254</v>
      </c>
      <c r="D2" s="12" t="s">
        <v>145</v>
      </c>
    </row>
    <row r="4" spans="1:4" ht="24" customHeight="1" x14ac:dyDescent="0.3">
      <c r="A4" s="13" t="s">
        <v>255</v>
      </c>
      <c r="B4" s="13" t="s">
        <v>256</v>
      </c>
      <c r="C4" s="13" t="s">
        <v>257</v>
      </c>
      <c r="D4" s="13" t="s">
        <v>258</v>
      </c>
    </row>
    <row r="5" spans="1:4" ht="15" x14ac:dyDescent="0.3">
      <c r="A5" s="14" t="s">
        <v>259</v>
      </c>
      <c r="B5" s="14" t="s">
        <v>153</v>
      </c>
      <c r="C5" s="8" t="s">
        <v>260</v>
      </c>
      <c r="D5" s="8" t="s">
        <v>261</v>
      </c>
    </row>
    <row r="6" spans="1:4" ht="15" x14ac:dyDescent="0.3">
      <c r="A6" s="14" t="s">
        <v>262</v>
      </c>
      <c r="B6" s="14" t="s">
        <v>263</v>
      </c>
      <c r="C6" s="8" t="s">
        <v>264</v>
      </c>
      <c r="D6" s="8" t="s">
        <v>265</v>
      </c>
    </row>
    <row r="7" spans="1:4" ht="15" x14ac:dyDescent="0.3">
      <c r="A7" s="14" t="s">
        <v>266</v>
      </c>
      <c r="B7" s="14" t="s">
        <v>263</v>
      </c>
      <c r="C7" s="8" t="s">
        <v>267</v>
      </c>
      <c r="D7" s="8" t="s">
        <v>265</v>
      </c>
    </row>
    <row r="8" spans="1:4" ht="15" x14ac:dyDescent="0.3">
      <c r="A8" s="14" t="s">
        <v>268</v>
      </c>
      <c r="B8" s="14" t="s">
        <v>263</v>
      </c>
      <c r="C8" s="8" t="s">
        <v>269</v>
      </c>
      <c r="D8" s="8" t="s">
        <v>270</v>
      </c>
    </row>
    <row r="9" spans="1:4" ht="15" x14ac:dyDescent="0.3">
      <c r="A9" s="14" t="s">
        <v>271</v>
      </c>
      <c r="B9" s="14" t="s">
        <v>263</v>
      </c>
      <c r="C9" s="8" t="s">
        <v>272</v>
      </c>
      <c r="D9" s="8" t="s">
        <v>273</v>
      </c>
    </row>
    <row r="10" spans="1:4" ht="15" x14ac:dyDescent="0.3">
      <c r="A10" s="14" t="s">
        <v>274</v>
      </c>
      <c r="B10" s="14" t="s">
        <v>263</v>
      </c>
      <c r="C10" s="8" t="s">
        <v>275</v>
      </c>
      <c r="D10" s="8" t="s">
        <v>276</v>
      </c>
    </row>
    <row r="11" spans="1:4" ht="15" x14ac:dyDescent="0.3">
      <c r="A11" s="14" t="s">
        <v>277</v>
      </c>
      <c r="B11" s="14" t="s">
        <v>263</v>
      </c>
      <c r="C11" s="8" t="s">
        <v>278</v>
      </c>
      <c r="D11" s="8" t="s">
        <v>279</v>
      </c>
    </row>
    <row r="12" spans="1:4" ht="15" x14ac:dyDescent="0.3">
      <c r="A12" s="14" t="s">
        <v>280</v>
      </c>
      <c r="B12" s="14" t="s">
        <v>281</v>
      </c>
      <c r="C12" s="8" t="s">
        <v>282</v>
      </c>
      <c r="D12" s="8" t="s">
        <v>283</v>
      </c>
    </row>
    <row r="13" spans="1:4" ht="15" x14ac:dyDescent="0.3">
      <c r="A13" s="14" t="s">
        <v>284</v>
      </c>
      <c r="B13" s="14" t="s">
        <v>281</v>
      </c>
      <c r="C13" s="8" t="s">
        <v>285</v>
      </c>
      <c r="D13" s="8" t="s">
        <v>286</v>
      </c>
    </row>
    <row r="14" spans="1:4" ht="15" x14ac:dyDescent="0.3">
      <c r="A14" s="14" t="s">
        <v>287</v>
      </c>
      <c r="B14" s="14" t="s">
        <v>192</v>
      </c>
      <c r="C14" s="8" t="s">
        <v>288</v>
      </c>
      <c r="D14" s="8" t="s">
        <v>289</v>
      </c>
    </row>
    <row r="15" spans="1:4" ht="15" x14ac:dyDescent="0.3">
      <c r="A15" s="14" t="s">
        <v>290</v>
      </c>
      <c r="B15" s="14" t="s">
        <v>192</v>
      </c>
      <c r="C15" s="8" t="s">
        <v>291</v>
      </c>
      <c r="D15" s="8" t="s">
        <v>292</v>
      </c>
    </row>
    <row r="16" spans="1:4" ht="15" x14ac:dyDescent="0.3">
      <c r="A16" s="14" t="s">
        <v>293</v>
      </c>
      <c r="B16" s="14" t="s">
        <v>192</v>
      </c>
      <c r="C16" s="8" t="s">
        <v>294</v>
      </c>
      <c r="D16" s="8" t="s">
        <v>295</v>
      </c>
    </row>
    <row r="17" spans="1:4" ht="15" x14ac:dyDescent="0.3">
      <c r="A17" s="14" t="s">
        <v>296</v>
      </c>
      <c r="B17" s="14" t="s">
        <v>192</v>
      </c>
      <c r="C17" s="8" t="s">
        <v>297</v>
      </c>
      <c r="D17" s="8" t="s">
        <v>298</v>
      </c>
    </row>
    <row r="18" spans="1:4" ht="15" x14ac:dyDescent="0.3">
      <c r="A18" s="14" t="s">
        <v>299</v>
      </c>
      <c r="B18" s="14" t="s">
        <v>300</v>
      </c>
      <c r="C18" s="8" t="s">
        <v>301</v>
      </c>
      <c r="D18" s="8" t="s">
        <v>302</v>
      </c>
    </row>
    <row r="19" spans="1:4" ht="15" x14ac:dyDescent="0.3">
      <c r="A19" s="14" t="s">
        <v>303</v>
      </c>
      <c r="B19" s="14" t="s">
        <v>300</v>
      </c>
      <c r="C19" s="8" t="s">
        <v>304</v>
      </c>
      <c r="D19" s="8" t="s">
        <v>305</v>
      </c>
    </row>
    <row r="20" spans="1:4" ht="15" x14ac:dyDescent="0.3">
      <c r="A20" s="14" t="s">
        <v>306</v>
      </c>
      <c r="B20" s="14" t="s">
        <v>300</v>
      </c>
      <c r="C20" s="8" t="s">
        <v>307</v>
      </c>
      <c r="D20" s="8" t="s">
        <v>308</v>
      </c>
    </row>
    <row r="21" spans="1:4" ht="15" x14ac:dyDescent="0.3">
      <c r="A21" s="14" t="s">
        <v>309</v>
      </c>
      <c r="B21" s="14" t="s">
        <v>300</v>
      </c>
      <c r="C21" s="8" t="s">
        <v>310</v>
      </c>
      <c r="D21" s="8" t="s">
        <v>311</v>
      </c>
    </row>
    <row r="22" spans="1:4" ht="15" x14ac:dyDescent="0.3">
      <c r="A22" s="14" t="s">
        <v>312</v>
      </c>
      <c r="B22" s="14" t="s">
        <v>313</v>
      </c>
      <c r="C22" s="8" t="s">
        <v>314</v>
      </c>
      <c r="D22" s="8" t="s">
        <v>315</v>
      </c>
    </row>
    <row r="23" spans="1:4" ht="15" x14ac:dyDescent="0.3">
      <c r="A23" s="14" t="s">
        <v>316</v>
      </c>
      <c r="B23" s="14" t="s">
        <v>313</v>
      </c>
      <c r="C23" s="8" t="s">
        <v>317</v>
      </c>
      <c r="D23" s="8" t="s">
        <v>318</v>
      </c>
    </row>
    <row r="24" spans="1:4" ht="15" x14ac:dyDescent="0.3">
      <c r="A24" s="14" t="s">
        <v>319</v>
      </c>
      <c r="B24" s="14" t="s">
        <v>313</v>
      </c>
      <c r="C24" s="8" t="s">
        <v>320</v>
      </c>
      <c r="D24" s="8" t="s">
        <v>321</v>
      </c>
    </row>
    <row r="25" spans="1:4" ht="15" x14ac:dyDescent="0.3">
      <c r="A25" s="14" t="s">
        <v>322</v>
      </c>
      <c r="B25" s="14" t="s">
        <v>313</v>
      </c>
      <c r="C25" s="8" t="s">
        <v>323</v>
      </c>
      <c r="D25" s="8" t="s">
        <v>324</v>
      </c>
    </row>
    <row r="26" spans="1:4" ht="15" x14ac:dyDescent="0.3">
      <c r="A26" s="14" t="s">
        <v>325</v>
      </c>
      <c r="B26" s="14" t="s">
        <v>232</v>
      </c>
      <c r="C26" s="8" t="s">
        <v>326</v>
      </c>
      <c r="D26" s="8" t="s">
        <v>327</v>
      </c>
    </row>
    <row r="27" spans="1:4" ht="15" x14ac:dyDescent="0.3">
      <c r="A27" s="14" t="s">
        <v>328</v>
      </c>
      <c r="B27" s="14" t="s">
        <v>232</v>
      </c>
      <c r="C27" s="8" t="s">
        <v>329</v>
      </c>
      <c r="D27" s="8" t="s">
        <v>330</v>
      </c>
    </row>
    <row r="28" spans="1:4" ht="15" x14ac:dyDescent="0.3">
      <c r="A28" s="14" t="s">
        <v>331</v>
      </c>
      <c r="B28" s="14" t="s">
        <v>232</v>
      </c>
      <c r="C28" s="8" t="s">
        <v>332</v>
      </c>
      <c r="D28" s="8" t="s">
        <v>333</v>
      </c>
    </row>
    <row r="29" spans="1:4" ht="15" x14ac:dyDescent="0.3">
      <c r="A29" s="14" t="s">
        <v>334</v>
      </c>
      <c r="B29" s="14" t="s">
        <v>232</v>
      </c>
      <c r="C29" s="8" t="s">
        <v>335</v>
      </c>
      <c r="D29" s="8" t="s">
        <v>336</v>
      </c>
    </row>
    <row r="30" spans="1:4" ht="15" x14ac:dyDescent="0.3">
      <c r="A30" s="14" t="s">
        <v>337</v>
      </c>
      <c r="B30" s="14" t="s">
        <v>232</v>
      </c>
      <c r="C30" s="8" t="s">
        <v>338</v>
      </c>
      <c r="D30" s="8" t="s">
        <v>339</v>
      </c>
    </row>
    <row r="31" spans="1:4" ht="15" x14ac:dyDescent="0.3">
      <c r="A31" s="14" t="s">
        <v>340</v>
      </c>
      <c r="B31" s="14" t="s">
        <v>341</v>
      </c>
      <c r="C31" s="8" t="s">
        <v>342</v>
      </c>
      <c r="D31" s="8" t="s">
        <v>343</v>
      </c>
    </row>
    <row r="32" spans="1:4" ht="15" x14ac:dyDescent="0.3">
      <c r="A32" s="14" t="s">
        <v>344</v>
      </c>
      <c r="B32" s="14" t="s">
        <v>232</v>
      </c>
      <c r="C32" s="8" t="s">
        <v>345</v>
      </c>
      <c r="D32" s="8" t="s">
        <v>346</v>
      </c>
    </row>
    <row r="33" spans="1:4" ht="15" x14ac:dyDescent="0.3">
      <c r="A33" s="14" t="s">
        <v>347</v>
      </c>
      <c r="B33" s="14" t="s">
        <v>348</v>
      </c>
      <c r="C33" s="8" t="s">
        <v>349</v>
      </c>
      <c r="D33" s="8" t="s">
        <v>350</v>
      </c>
    </row>
    <row r="34" spans="1:4" ht="15" x14ac:dyDescent="0.3">
      <c r="A34" s="14" t="s">
        <v>351</v>
      </c>
      <c r="B34" s="14" t="s">
        <v>348</v>
      </c>
      <c r="C34" s="8" t="s">
        <v>352</v>
      </c>
      <c r="D34" s="8" t="s">
        <v>353</v>
      </c>
    </row>
    <row r="35" spans="1:4" ht="15" x14ac:dyDescent="0.3">
      <c r="A35" s="14" t="s">
        <v>354</v>
      </c>
      <c r="B35" s="14" t="s">
        <v>355</v>
      </c>
      <c r="C35" s="8" t="s">
        <v>356</v>
      </c>
      <c r="D35" s="8" t="s">
        <v>357</v>
      </c>
    </row>
    <row r="36" spans="1:4" ht="15" x14ac:dyDescent="0.3">
      <c r="A36" s="14" t="s">
        <v>358</v>
      </c>
      <c r="B36" s="14" t="s">
        <v>355</v>
      </c>
      <c r="C36" s="8" t="s">
        <v>359</v>
      </c>
      <c r="D36" s="8" t="s">
        <v>360</v>
      </c>
    </row>
  </sheetData>
  <mergeCells count="1">
    <mergeCell ref="A1:D1"/>
  </mergeCells>
  <hyperlinks>
    <hyperlink ref="D2" location="'Dashboard'!A1" display="← Torna alla Dashboard" xr:uid="{00000000-0004-0000-0200-000000000000}"/>
  </hyperlinks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E5FAD"/>
  </sheetPr>
  <dimension ref="A1:D47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6" customWidth="1"/>
    <col min="2" max="2" width="36" customWidth="1"/>
    <col min="3" max="3" width="48" customWidth="1"/>
    <col min="4" max="4" width="56" customWidth="1"/>
  </cols>
  <sheetData>
    <row r="1" spans="1:4" ht="34.049999999999997" customHeight="1" x14ac:dyDescent="0.3">
      <c r="A1" s="28" t="s">
        <v>361</v>
      </c>
      <c r="B1" s="29"/>
      <c r="C1" s="29"/>
      <c r="D1" s="29"/>
    </row>
    <row r="2" spans="1:4" ht="19.95" customHeight="1" x14ac:dyDescent="0.35">
      <c r="A2" s="1" t="s">
        <v>362</v>
      </c>
      <c r="D2" s="12" t="s">
        <v>145</v>
      </c>
    </row>
    <row r="4" spans="1:4" ht="24" customHeight="1" x14ac:dyDescent="0.3">
      <c r="A4" s="13" t="s">
        <v>363</v>
      </c>
      <c r="B4" s="13" t="s">
        <v>364</v>
      </c>
      <c r="C4" s="13" t="s">
        <v>365</v>
      </c>
      <c r="D4" s="13" t="s">
        <v>151</v>
      </c>
    </row>
    <row r="5" spans="1:4" ht="15" x14ac:dyDescent="0.3">
      <c r="A5" s="14" t="s">
        <v>366</v>
      </c>
      <c r="B5" s="14" t="s">
        <v>367</v>
      </c>
      <c r="C5" s="8" t="s">
        <v>368</v>
      </c>
      <c r="D5" s="8"/>
    </row>
    <row r="6" spans="1:4" ht="15" x14ac:dyDescent="0.3">
      <c r="A6" s="14" t="s">
        <v>366</v>
      </c>
      <c r="B6" s="14" t="s">
        <v>369</v>
      </c>
      <c r="C6" s="8" t="s">
        <v>370</v>
      </c>
      <c r="D6" s="8"/>
    </row>
    <row r="7" spans="1:4" ht="15" x14ac:dyDescent="0.3">
      <c r="A7" s="14" t="s">
        <v>366</v>
      </c>
      <c r="B7" s="14" t="s">
        <v>371</v>
      </c>
      <c r="C7" s="8" t="s">
        <v>372</v>
      </c>
      <c r="D7" s="8"/>
    </row>
    <row r="8" spans="1:4" ht="15" x14ac:dyDescent="0.3">
      <c r="A8" s="14" t="s">
        <v>366</v>
      </c>
      <c r="B8" s="14" t="s">
        <v>373</v>
      </c>
      <c r="C8" s="8" t="s">
        <v>374</v>
      </c>
      <c r="D8" s="8"/>
    </row>
    <row r="9" spans="1:4" ht="15" x14ac:dyDescent="0.3">
      <c r="A9" s="14" t="s">
        <v>375</v>
      </c>
      <c r="B9" s="14" t="s">
        <v>376</v>
      </c>
      <c r="C9" s="8" t="s">
        <v>377</v>
      </c>
      <c r="D9" s="8" t="s">
        <v>378</v>
      </c>
    </row>
    <row r="10" spans="1:4" ht="15" x14ac:dyDescent="0.3">
      <c r="A10" s="14" t="s">
        <v>375</v>
      </c>
      <c r="B10" s="14" t="s">
        <v>379</v>
      </c>
      <c r="C10" s="8" t="s">
        <v>380</v>
      </c>
      <c r="D10" s="8"/>
    </row>
    <row r="11" spans="1:4" ht="15" x14ac:dyDescent="0.3">
      <c r="A11" s="14" t="s">
        <v>375</v>
      </c>
      <c r="B11" s="14" t="s">
        <v>381</v>
      </c>
      <c r="C11" s="8" t="s">
        <v>382</v>
      </c>
      <c r="D11" s="8"/>
    </row>
    <row r="12" spans="1:4" ht="15" x14ac:dyDescent="0.3">
      <c r="A12" s="14" t="s">
        <v>375</v>
      </c>
      <c r="B12" s="14" t="s">
        <v>383</v>
      </c>
      <c r="C12" s="8" t="s">
        <v>384</v>
      </c>
      <c r="D12" s="8" t="s">
        <v>385</v>
      </c>
    </row>
    <row r="13" spans="1:4" ht="15" x14ac:dyDescent="0.3">
      <c r="A13" s="14" t="s">
        <v>375</v>
      </c>
      <c r="B13" s="14" t="s">
        <v>386</v>
      </c>
      <c r="C13" s="8" t="s">
        <v>387</v>
      </c>
      <c r="D13" s="8"/>
    </row>
    <row r="14" spans="1:4" ht="15" x14ac:dyDescent="0.3">
      <c r="A14" s="14" t="s">
        <v>375</v>
      </c>
      <c r="B14" s="14" t="s">
        <v>388</v>
      </c>
      <c r="C14" s="8" t="s">
        <v>389</v>
      </c>
      <c r="D14" s="8"/>
    </row>
    <row r="15" spans="1:4" ht="15" x14ac:dyDescent="0.3">
      <c r="A15" s="14" t="s">
        <v>390</v>
      </c>
      <c r="B15" s="14" t="s">
        <v>391</v>
      </c>
      <c r="C15" s="8" t="s">
        <v>392</v>
      </c>
      <c r="D15" s="8"/>
    </row>
    <row r="16" spans="1:4" ht="15" x14ac:dyDescent="0.3">
      <c r="A16" s="14" t="s">
        <v>390</v>
      </c>
      <c r="B16" s="14" t="s">
        <v>367</v>
      </c>
      <c r="C16" s="8" t="s">
        <v>393</v>
      </c>
      <c r="D16" s="8"/>
    </row>
    <row r="17" spans="1:4" ht="15" x14ac:dyDescent="0.3">
      <c r="A17" s="14" t="s">
        <v>390</v>
      </c>
      <c r="B17" s="14" t="s">
        <v>394</v>
      </c>
      <c r="C17" s="8" t="s">
        <v>395</v>
      </c>
      <c r="D17" s="8"/>
    </row>
    <row r="18" spans="1:4" ht="15" x14ac:dyDescent="0.3">
      <c r="A18" s="14" t="s">
        <v>390</v>
      </c>
      <c r="B18" s="14" t="s">
        <v>396</v>
      </c>
      <c r="C18" s="8" t="s">
        <v>397</v>
      </c>
      <c r="D18" s="8"/>
    </row>
    <row r="19" spans="1:4" ht="15" x14ac:dyDescent="0.3">
      <c r="A19" s="14" t="s">
        <v>390</v>
      </c>
      <c r="B19" s="14" t="s">
        <v>398</v>
      </c>
      <c r="C19" s="8" t="s">
        <v>269</v>
      </c>
      <c r="D19" s="8"/>
    </row>
    <row r="20" spans="1:4" ht="15" x14ac:dyDescent="0.3">
      <c r="A20" s="14" t="s">
        <v>390</v>
      </c>
      <c r="B20" s="14" t="s">
        <v>399</v>
      </c>
      <c r="C20" s="8" t="s">
        <v>400</v>
      </c>
      <c r="D20" s="8"/>
    </row>
    <row r="21" spans="1:4" ht="15" x14ac:dyDescent="0.3">
      <c r="A21" s="14" t="s">
        <v>390</v>
      </c>
      <c r="B21" s="14" t="s">
        <v>401</v>
      </c>
      <c r="C21" s="8" t="s">
        <v>402</v>
      </c>
      <c r="D21" s="8" t="s">
        <v>403</v>
      </c>
    </row>
    <row r="22" spans="1:4" ht="15" x14ac:dyDescent="0.3">
      <c r="A22" s="14" t="s">
        <v>390</v>
      </c>
      <c r="B22" s="14" t="s">
        <v>369</v>
      </c>
      <c r="C22" s="8" t="s">
        <v>404</v>
      </c>
      <c r="D22" s="8"/>
    </row>
    <row r="23" spans="1:4" ht="15" x14ac:dyDescent="0.3">
      <c r="A23" s="14" t="s">
        <v>390</v>
      </c>
      <c r="B23" s="14" t="s">
        <v>371</v>
      </c>
      <c r="C23" s="8" t="s">
        <v>405</v>
      </c>
      <c r="D23" s="8"/>
    </row>
    <row r="24" spans="1:4" ht="15" x14ac:dyDescent="0.3">
      <c r="A24" s="14" t="s">
        <v>390</v>
      </c>
      <c r="B24" s="14" t="s">
        <v>373</v>
      </c>
      <c r="C24" s="8" t="s">
        <v>406</v>
      </c>
      <c r="D24" s="8"/>
    </row>
    <row r="25" spans="1:4" ht="15" x14ac:dyDescent="0.3">
      <c r="A25" s="14" t="s">
        <v>407</v>
      </c>
      <c r="B25" s="14" t="s">
        <v>391</v>
      </c>
      <c r="C25" s="8" t="s">
        <v>408</v>
      </c>
      <c r="D25" s="8"/>
    </row>
    <row r="26" spans="1:4" ht="15" x14ac:dyDescent="0.3">
      <c r="A26" s="14" t="s">
        <v>407</v>
      </c>
      <c r="B26" s="14" t="s">
        <v>367</v>
      </c>
      <c r="C26" s="8" t="s">
        <v>409</v>
      </c>
      <c r="D26" s="8"/>
    </row>
    <row r="27" spans="1:4" ht="15" x14ac:dyDescent="0.3">
      <c r="A27" s="14" t="s">
        <v>407</v>
      </c>
      <c r="B27" s="14" t="s">
        <v>410</v>
      </c>
      <c r="C27" s="8" t="s">
        <v>411</v>
      </c>
      <c r="D27" s="8" t="s">
        <v>412</v>
      </c>
    </row>
    <row r="28" spans="1:4" ht="15" x14ac:dyDescent="0.3">
      <c r="A28" s="14" t="s">
        <v>407</v>
      </c>
      <c r="B28" s="14" t="s">
        <v>413</v>
      </c>
      <c r="C28" s="8" t="s">
        <v>414</v>
      </c>
      <c r="D28" s="8"/>
    </row>
    <row r="29" spans="1:4" ht="15" x14ac:dyDescent="0.3">
      <c r="A29" s="14" t="s">
        <v>407</v>
      </c>
      <c r="B29" s="14" t="s">
        <v>415</v>
      </c>
      <c r="C29" s="8" t="s">
        <v>416</v>
      </c>
      <c r="D29" s="8"/>
    </row>
    <row r="30" spans="1:4" ht="15" x14ac:dyDescent="0.3">
      <c r="A30" s="14" t="s">
        <v>407</v>
      </c>
      <c r="B30" s="14" t="s">
        <v>417</v>
      </c>
      <c r="C30" s="8" t="s">
        <v>418</v>
      </c>
      <c r="D30" s="8"/>
    </row>
    <row r="31" spans="1:4" ht="15" x14ac:dyDescent="0.3">
      <c r="A31" s="14" t="s">
        <v>407</v>
      </c>
      <c r="B31" s="14" t="s">
        <v>419</v>
      </c>
      <c r="C31" s="8" t="s">
        <v>420</v>
      </c>
      <c r="D31" s="8" t="s">
        <v>421</v>
      </c>
    </row>
    <row r="32" spans="1:4" ht="15" x14ac:dyDescent="0.3">
      <c r="A32" s="14" t="s">
        <v>407</v>
      </c>
      <c r="B32" s="14" t="s">
        <v>399</v>
      </c>
      <c r="C32" s="8" t="s">
        <v>422</v>
      </c>
      <c r="D32" s="8" t="s">
        <v>423</v>
      </c>
    </row>
    <row r="33" spans="1:4" ht="15" x14ac:dyDescent="0.3">
      <c r="A33" s="14" t="s">
        <v>407</v>
      </c>
      <c r="B33" s="14" t="s">
        <v>424</v>
      </c>
      <c r="C33" s="8" t="s">
        <v>425</v>
      </c>
      <c r="D33" s="8" t="s">
        <v>426</v>
      </c>
    </row>
    <row r="34" spans="1:4" ht="15" x14ac:dyDescent="0.3">
      <c r="A34" s="14" t="s">
        <v>407</v>
      </c>
      <c r="B34" s="14" t="s">
        <v>369</v>
      </c>
      <c r="C34" s="8" t="s">
        <v>427</v>
      </c>
      <c r="D34" s="8"/>
    </row>
    <row r="35" spans="1:4" ht="15" x14ac:dyDescent="0.3">
      <c r="A35" s="14" t="s">
        <v>407</v>
      </c>
      <c r="B35" s="14" t="s">
        <v>371</v>
      </c>
      <c r="C35" s="8" t="s">
        <v>428</v>
      </c>
      <c r="D35" s="8"/>
    </row>
    <row r="36" spans="1:4" ht="15" x14ac:dyDescent="0.3">
      <c r="A36" s="14" t="s">
        <v>407</v>
      </c>
      <c r="B36" s="14" t="s">
        <v>373</v>
      </c>
      <c r="C36" s="8" t="s">
        <v>429</v>
      </c>
      <c r="D36" s="8"/>
    </row>
    <row r="37" spans="1:4" ht="15" x14ac:dyDescent="0.3">
      <c r="A37" s="14" t="s">
        <v>430</v>
      </c>
      <c r="B37" s="14" t="s">
        <v>431</v>
      </c>
      <c r="C37" s="8" t="s">
        <v>432</v>
      </c>
      <c r="D37" s="8"/>
    </row>
    <row r="38" spans="1:4" ht="15" x14ac:dyDescent="0.3">
      <c r="A38" s="14" t="s">
        <v>430</v>
      </c>
      <c r="B38" s="14" t="s">
        <v>433</v>
      </c>
      <c r="C38" s="8" t="s">
        <v>434</v>
      </c>
      <c r="D38" s="8"/>
    </row>
    <row r="39" spans="1:4" ht="15" x14ac:dyDescent="0.3">
      <c r="A39" s="14" t="s">
        <v>430</v>
      </c>
      <c r="B39" s="14" t="s">
        <v>435</v>
      </c>
      <c r="C39" s="8" t="s">
        <v>436</v>
      </c>
      <c r="D39" s="8"/>
    </row>
    <row r="40" spans="1:4" ht="15" x14ac:dyDescent="0.3">
      <c r="A40" s="14" t="s">
        <v>430</v>
      </c>
      <c r="B40" s="14" t="s">
        <v>437</v>
      </c>
      <c r="C40" s="8" t="s">
        <v>438</v>
      </c>
      <c r="D40" s="8"/>
    </row>
    <row r="41" spans="1:4" ht="15" x14ac:dyDescent="0.3">
      <c r="A41" s="14" t="s">
        <v>430</v>
      </c>
      <c r="B41" s="14" t="s">
        <v>439</v>
      </c>
      <c r="C41" s="8" t="s">
        <v>440</v>
      </c>
      <c r="D41" s="8" t="s">
        <v>441</v>
      </c>
    </row>
    <row r="42" spans="1:4" ht="15" x14ac:dyDescent="0.3">
      <c r="A42" s="14" t="s">
        <v>430</v>
      </c>
      <c r="B42" s="14" t="s">
        <v>442</v>
      </c>
      <c r="C42" s="8" t="s">
        <v>443</v>
      </c>
      <c r="D42" s="8" t="s">
        <v>444</v>
      </c>
    </row>
    <row r="43" spans="1:4" ht="15" x14ac:dyDescent="0.3">
      <c r="A43" s="14" t="s">
        <v>430</v>
      </c>
      <c r="B43" s="14" t="s">
        <v>445</v>
      </c>
      <c r="C43" s="8" t="s">
        <v>446</v>
      </c>
      <c r="D43" s="8" t="s">
        <v>447</v>
      </c>
    </row>
    <row r="44" spans="1:4" ht="15" x14ac:dyDescent="0.3">
      <c r="A44" s="14" t="s">
        <v>430</v>
      </c>
      <c r="B44" s="14" t="s">
        <v>448</v>
      </c>
      <c r="C44" s="8" t="s">
        <v>449</v>
      </c>
      <c r="D44" s="8"/>
    </row>
    <row r="45" spans="1:4" ht="15" x14ac:dyDescent="0.3">
      <c r="A45" s="14" t="s">
        <v>430</v>
      </c>
      <c r="B45" s="14" t="s">
        <v>388</v>
      </c>
      <c r="C45" s="8" t="s">
        <v>389</v>
      </c>
      <c r="D45" s="8"/>
    </row>
    <row r="46" spans="1:4" ht="15" x14ac:dyDescent="0.3">
      <c r="A46" s="14" t="s">
        <v>450</v>
      </c>
      <c r="B46" s="14" t="s">
        <v>391</v>
      </c>
      <c r="C46" s="8" t="s">
        <v>451</v>
      </c>
      <c r="D46" s="8"/>
    </row>
    <row r="47" spans="1:4" ht="15" x14ac:dyDescent="0.3">
      <c r="A47" s="14" t="s">
        <v>450</v>
      </c>
      <c r="B47" s="14" t="s">
        <v>369</v>
      </c>
      <c r="C47" s="8" t="s">
        <v>452</v>
      </c>
      <c r="D47" s="8"/>
    </row>
  </sheetData>
  <mergeCells count="1">
    <mergeCell ref="A1:D1"/>
  </mergeCells>
  <hyperlinks>
    <hyperlink ref="D2" location="'Dashboard'!A1" display="← Torna alla Dashboard" xr:uid="{00000000-0004-0000-0300-000000000000}"/>
  </hyperlinks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E5FAD"/>
  </sheetPr>
  <dimension ref="A1:F20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8" customWidth="1"/>
    <col min="2" max="2" width="12" customWidth="1"/>
    <col min="3" max="3" width="52" customWidth="1"/>
    <col min="4" max="4" width="44" customWidth="1"/>
    <col min="5" max="5" width="24" customWidth="1"/>
    <col min="6" max="6" width="54" customWidth="1"/>
  </cols>
  <sheetData>
    <row r="1" spans="1:6" ht="34.049999999999997" customHeight="1" x14ac:dyDescent="0.3">
      <c r="A1" s="28" t="s">
        <v>453</v>
      </c>
      <c r="B1" s="29"/>
      <c r="C1" s="29"/>
      <c r="D1" s="29"/>
      <c r="E1" s="29"/>
      <c r="F1" s="29"/>
    </row>
    <row r="2" spans="1:6" ht="19.95" customHeight="1" x14ac:dyDescent="0.35">
      <c r="A2" s="1" t="s">
        <v>454</v>
      </c>
      <c r="F2" s="12" t="s">
        <v>145</v>
      </c>
    </row>
    <row r="4" spans="1:6" ht="24" customHeight="1" x14ac:dyDescent="0.3">
      <c r="A4" s="13" t="s">
        <v>455</v>
      </c>
      <c r="B4" s="13" t="s">
        <v>149</v>
      </c>
      <c r="C4" s="13" t="s">
        <v>365</v>
      </c>
      <c r="D4" s="13" t="s">
        <v>456</v>
      </c>
      <c r="E4" s="13" t="s">
        <v>457</v>
      </c>
      <c r="F4" s="13" t="s">
        <v>151</v>
      </c>
    </row>
    <row r="5" spans="1:6" ht="15" x14ac:dyDescent="0.3">
      <c r="A5" s="14" t="s">
        <v>458</v>
      </c>
      <c r="B5" s="14" t="s">
        <v>455</v>
      </c>
      <c r="C5" s="8" t="s">
        <v>459</v>
      </c>
      <c r="D5" s="8" t="s">
        <v>460</v>
      </c>
      <c r="E5" s="14" t="s">
        <v>461</v>
      </c>
      <c r="F5" s="8" t="s">
        <v>462</v>
      </c>
    </row>
    <row r="6" spans="1:6" ht="15" x14ac:dyDescent="0.3">
      <c r="A6" s="14" t="s">
        <v>463</v>
      </c>
      <c r="B6" s="14" t="s">
        <v>455</v>
      </c>
      <c r="C6" s="8" t="s">
        <v>464</v>
      </c>
      <c r="D6" s="8" t="s">
        <v>465</v>
      </c>
      <c r="E6" s="14" t="s">
        <v>466</v>
      </c>
      <c r="F6" s="8" t="s">
        <v>467</v>
      </c>
    </row>
    <row r="7" spans="1:6" ht="15" x14ac:dyDescent="0.3">
      <c r="A7" s="14" t="s">
        <v>468</v>
      </c>
      <c r="B7" s="14" t="s">
        <v>455</v>
      </c>
      <c r="C7" s="8" t="s">
        <v>469</v>
      </c>
      <c r="D7" s="8" t="s">
        <v>470</v>
      </c>
      <c r="E7" s="14" t="s">
        <v>471</v>
      </c>
      <c r="F7" s="8" t="s">
        <v>472</v>
      </c>
    </row>
    <row r="8" spans="1:6" ht="30" x14ac:dyDescent="0.3">
      <c r="A8" s="14" t="s">
        <v>473</v>
      </c>
      <c r="B8" s="14" t="s">
        <v>455</v>
      </c>
      <c r="C8" s="8" t="s">
        <v>474</v>
      </c>
      <c r="D8" s="8" t="s">
        <v>475</v>
      </c>
      <c r="E8" s="14" t="s">
        <v>79</v>
      </c>
      <c r="F8" s="8" t="s">
        <v>476</v>
      </c>
    </row>
    <row r="9" spans="1:6" ht="15" x14ac:dyDescent="0.3">
      <c r="A9" s="14" t="s">
        <v>477</v>
      </c>
      <c r="B9" s="14" t="s">
        <v>455</v>
      </c>
      <c r="C9" s="8" t="s">
        <v>478</v>
      </c>
      <c r="D9" s="8" t="s">
        <v>479</v>
      </c>
      <c r="E9" s="14" t="s">
        <v>79</v>
      </c>
      <c r="F9" s="8"/>
    </row>
    <row r="10" spans="1:6" ht="30" x14ac:dyDescent="0.3">
      <c r="A10" s="14" t="s">
        <v>480</v>
      </c>
      <c r="B10" s="14" t="s">
        <v>455</v>
      </c>
      <c r="C10" s="8" t="s">
        <v>481</v>
      </c>
      <c r="D10" s="8" t="s">
        <v>482</v>
      </c>
      <c r="E10" s="14" t="s">
        <v>79</v>
      </c>
      <c r="F10" s="8" t="s">
        <v>483</v>
      </c>
    </row>
    <row r="11" spans="1:6" ht="15" x14ac:dyDescent="0.3">
      <c r="A11" s="14" t="s">
        <v>484</v>
      </c>
      <c r="B11" s="14" t="s">
        <v>455</v>
      </c>
      <c r="C11" s="8" t="s">
        <v>485</v>
      </c>
      <c r="D11" s="8" t="s">
        <v>486</v>
      </c>
      <c r="E11" s="14" t="s">
        <v>79</v>
      </c>
      <c r="F11" s="8"/>
    </row>
    <row r="12" spans="1:6" ht="15" x14ac:dyDescent="0.3">
      <c r="A12" s="14" t="s">
        <v>487</v>
      </c>
      <c r="B12" s="14" t="s">
        <v>455</v>
      </c>
      <c r="C12" s="8" t="s">
        <v>488</v>
      </c>
      <c r="D12" s="8" t="s">
        <v>450</v>
      </c>
      <c r="E12" s="14" t="s">
        <v>79</v>
      </c>
      <c r="F12" s="8"/>
    </row>
    <row r="13" spans="1:6" ht="15" x14ac:dyDescent="0.3">
      <c r="A13" s="14" t="s">
        <v>489</v>
      </c>
      <c r="B13" s="14" t="s">
        <v>490</v>
      </c>
      <c r="C13" s="8" t="s">
        <v>491</v>
      </c>
      <c r="D13" s="8" t="s">
        <v>492</v>
      </c>
      <c r="E13" s="14" t="s">
        <v>79</v>
      </c>
      <c r="F13" s="8" t="s">
        <v>493</v>
      </c>
    </row>
    <row r="14" spans="1:6" ht="30" x14ac:dyDescent="0.3">
      <c r="A14" s="14" t="s">
        <v>494</v>
      </c>
      <c r="B14" s="14" t="s">
        <v>495</v>
      </c>
      <c r="C14" s="8" t="s">
        <v>496</v>
      </c>
      <c r="D14" s="8" t="s">
        <v>79</v>
      </c>
      <c r="E14" s="14" t="s">
        <v>79</v>
      </c>
      <c r="F14" s="8" t="s">
        <v>497</v>
      </c>
    </row>
    <row r="15" spans="1:6" ht="15" x14ac:dyDescent="0.3">
      <c r="A15" s="14" t="s">
        <v>498</v>
      </c>
      <c r="B15" s="14" t="s">
        <v>499</v>
      </c>
      <c r="C15" s="8" t="s">
        <v>500</v>
      </c>
      <c r="D15" s="8" t="s">
        <v>501</v>
      </c>
      <c r="E15" s="14" t="s">
        <v>79</v>
      </c>
      <c r="F15" s="8" t="s">
        <v>502</v>
      </c>
    </row>
    <row r="16" spans="1:6" ht="15" x14ac:dyDescent="0.3">
      <c r="A16" s="14" t="s">
        <v>503</v>
      </c>
      <c r="B16" s="14" t="s">
        <v>499</v>
      </c>
      <c r="C16" s="8" t="s">
        <v>504</v>
      </c>
      <c r="D16" s="8" t="s">
        <v>79</v>
      </c>
      <c r="E16" s="14" t="s">
        <v>79</v>
      </c>
      <c r="F16" s="8" t="s">
        <v>505</v>
      </c>
    </row>
    <row r="17" spans="1:6" ht="30" x14ac:dyDescent="0.3">
      <c r="A17" s="14" t="s">
        <v>506</v>
      </c>
      <c r="B17" s="14" t="s">
        <v>499</v>
      </c>
      <c r="C17" s="8" t="s">
        <v>507</v>
      </c>
      <c r="D17" s="8" t="s">
        <v>508</v>
      </c>
      <c r="E17" s="14" t="s">
        <v>79</v>
      </c>
      <c r="F17" s="8"/>
    </row>
    <row r="18" spans="1:6" ht="15" x14ac:dyDescent="0.3">
      <c r="A18" s="14" t="s">
        <v>509</v>
      </c>
      <c r="B18" s="14" t="s">
        <v>499</v>
      </c>
      <c r="C18" s="8" t="s">
        <v>510</v>
      </c>
      <c r="D18" s="8" t="s">
        <v>79</v>
      </c>
      <c r="E18" s="14" t="s">
        <v>511</v>
      </c>
      <c r="F18" s="8"/>
    </row>
    <row r="19" spans="1:6" ht="15" x14ac:dyDescent="0.3">
      <c r="A19" s="14" t="s">
        <v>512</v>
      </c>
      <c r="B19" s="14" t="s">
        <v>499</v>
      </c>
      <c r="C19" s="8" t="s">
        <v>513</v>
      </c>
      <c r="D19" s="8" t="s">
        <v>79</v>
      </c>
      <c r="E19" s="14" t="s">
        <v>79</v>
      </c>
      <c r="F19" s="8" t="s">
        <v>514</v>
      </c>
    </row>
    <row r="20" spans="1:6" ht="15" x14ac:dyDescent="0.3">
      <c r="A20" s="14" t="s">
        <v>515</v>
      </c>
      <c r="B20" s="14" t="s">
        <v>499</v>
      </c>
      <c r="C20" s="8" t="s">
        <v>516</v>
      </c>
      <c r="D20" s="8" t="s">
        <v>79</v>
      </c>
      <c r="E20" s="14" t="s">
        <v>79</v>
      </c>
      <c r="F20" s="8" t="s">
        <v>517</v>
      </c>
    </row>
  </sheetData>
  <mergeCells count="1">
    <mergeCell ref="A1:F1"/>
  </mergeCells>
  <conditionalFormatting sqref="B5:B1000">
    <cfRule type="expression" dxfId="57" priority="1">
      <formula>$B5="Servizio"</formula>
    </cfRule>
    <cfRule type="expression" dxfId="56" priority="2">
      <formula>$B5="Motore"</formula>
    </cfRule>
    <cfRule type="expression" dxfId="55" priority="3">
      <formula>$B5="Supporto"</formula>
    </cfRule>
    <cfRule type="expression" dxfId="54" priority="4">
      <formula>$B5="Framework"</formula>
    </cfRule>
  </conditionalFormatting>
  <hyperlinks>
    <hyperlink ref="F2" location="'Dashboard'!A1" display="← Torna alla Dashboard" xr:uid="{00000000-0004-0000-0400-000000000000}"/>
  </hyperlinks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E5FAD"/>
  </sheetPr>
  <dimension ref="A1:G58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0" customWidth="1"/>
    <col min="2" max="2" width="10" customWidth="1"/>
    <col min="3" max="3" width="46" customWidth="1"/>
    <col min="4" max="4" width="22" customWidth="1"/>
    <col min="5" max="5" width="32" customWidth="1"/>
    <col min="6" max="6" width="46" customWidth="1"/>
    <col min="7" max="7" width="18" customWidth="1"/>
  </cols>
  <sheetData>
    <row r="1" spans="1:7" ht="34.049999999999997" customHeight="1" x14ac:dyDescent="0.3">
      <c r="A1" s="28" t="s">
        <v>518</v>
      </c>
      <c r="B1" s="29"/>
      <c r="C1" s="29"/>
      <c r="D1" s="29"/>
      <c r="E1" s="29"/>
      <c r="F1" s="29"/>
      <c r="G1" s="29"/>
    </row>
    <row r="2" spans="1:7" ht="19.95" customHeight="1" x14ac:dyDescent="0.35">
      <c r="A2" s="1" t="s">
        <v>519</v>
      </c>
      <c r="G2" s="12" t="s">
        <v>145</v>
      </c>
    </row>
    <row r="3" spans="1:7" ht="19.2" x14ac:dyDescent="0.45">
      <c r="A3" s="15" t="s">
        <v>520</v>
      </c>
      <c r="B3" s="16">
        <f>COUNTA(A5:A1000)</f>
        <v>54</v>
      </c>
    </row>
    <row r="4" spans="1:7" ht="24" customHeight="1" x14ac:dyDescent="0.3">
      <c r="A4" s="13" t="s">
        <v>521</v>
      </c>
      <c r="B4" s="13" t="s">
        <v>522</v>
      </c>
      <c r="C4" s="13" t="s">
        <v>523</v>
      </c>
      <c r="D4" s="13" t="s">
        <v>524</v>
      </c>
      <c r="E4" s="13" t="s">
        <v>364</v>
      </c>
      <c r="F4" s="13" t="s">
        <v>365</v>
      </c>
      <c r="G4" s="13" t="s">
        <v>525</v>
      </c>
    </row>
    <row r="5" spans="1:7" ht="15" x14ac:dyDescent="0.3">
      <c r="A5" s="14" t="s">
        <v>526</v>
      </c>
      <c r="B5" s="14" t="s">
        <v>527</v>
      </c>
      <c r="C5" s="14" t="s">
        <v>528</v>
      </c>
      <c r="D5" s="14" t="s">
        <v>529</v>
      </c>
      <c r="E5" s="14" t="s">
        <v>530</v>
      </c>
      <c r="F5" s="8" t="s">
        <v>531</v>
      </c>
      <c r="G5" s="14"/>
    </row>
    <row r="6" spans="1:7" ht="15" x14ac:dyDescent="0.3">
      <c r="A6" s="14" t="s">
        <v>526</v>
      </c>
      <c r="B6" s="14" t="s">
        <v>527</v>
      </c>
      <c r="C6" s="14" t="s">
        <v>532</v>
      </c>
      <c r="D6" s="14" t="s">
        <v>529</v>
      </c>
      <c r="E6" s="14" t="s">
        <v>533</v>
      </c>
      <c r="F6" s="8" t="s">
        <v>534</v>
      </c>
      <c r="G6" s="14" t="s">
        <v>535</v>
      </c>
    </row>
    <row r="7" spans="1:7" ht="15" x14ac:dyDescent="0.3">
      <c r="A7" s="14" t="s">
        <v>526</v>
      </c>
      <c r="B7" s="14" t="s">
        <v>536</v>
      </c>
      <c r="C7" s="14" t="s">
        <v>537</v>
      </c>
      <c r="D7" s="14" t="s">
        <v>538</v>
      </c>
      <c r="E7" s="14" t="s">
        <v>539</v>
      </c>
      <c r="F7" s="8" t="s">
        <v>540</v>
      </c>
      <c r="G7" s="14"/>
    </row>
    <row r="8" spans="1:7" ht="15" x14ac:dyDescent="0.3">
      <c r="A8" s="14" t="s">
        <v>526</v>
      </c>
      <c r="B8" s="14" t="s">
        <v>536</v>
      </c>
      <c r="C8" s="14" t="s">
        <v>541</v>
      </c>
      <c r="D8" s="14" t="s">
        <v>538</v>
      </c>
      <c r="E8" s="14" t="s">
        <v>542</v>
      </c>
      <c r="F8" s="8" t="s">
        <v>543</v>
      </c>
      <c r="G8" s="14"/>
    </row>
    <row r="9" spans="1:7" ht="15" x14ac:dyDescent="0.3">
      <c r="A9" s="14" t="s">
        <v>526</v>
      </c>
      <c r="B9" s="14" t="s">
        <v>544</v>
      </c>
      <c r="C9" s="14" t="s">
        <v>545</v>
      </c>
      <c r="D9" s="14" t="s">
        <v>538</v>
      </c>
      <c r="E9" s="14" t="s">
        <v>546</v>
      </c>
      <c r="F9" s="8" t="s">
        <v>547</v>
      </c>
      <c r="G9" s="14"/>
    </row>
    <row r="10" spans="1:7" ht="15" x14ac:dyDescent="0.3">
      <c r="A10" s="14" t="s">
        <v>526</v>
      </c>
      <c r="B10" s="14" t="s">
        <v>548</v>
      </c>
      <c r="C10" s="14" t="s">
        <v>549</v>
      </c>
      <c r="D10" s="14" t="s">
        <v>538</v>
      </c>
      <c r="E10" s="14" t="s">
        <v>550</v>
      </c>
      <c r="F10" s="8" t="s">
        <v>551</v>
      </c>
      <c r="G10" s="14"/>
    </row>
    <row r="11" spans="1:7" ht="15" x14ac:dyDescent="0.3">
      <c r="A11" s="14" t="s">
        <v>526</v>
      </c>
      <c r="B11" s="14" t="s">
        <v>527</v>
      </c>
      <c r="C11" s="14" t="s">
        <v>552</v>
      </c>
      <c r="D11" s="14" t="s">
        <v>538</v>
      </c>
      <c r="E11" s="14" t="s">
        <v>553</v>
      </c>
      <c r="F11" s="8" t="s">
        <v>554</v>
      </c>
      <c r="G11" s="14"/>
    </row>
    <row r="12" spans="1:7" ht="15" x14ac:dyDescent="0.3">
      <c r="A12" s="14" t="s">
        <v>526</v>
      </c>
      <c r="B12" s="14" t="s">
        <v>548</v>
      </c>
      <c r="C12" s="14" t="s">
        <v>555</v>
      </c>
      <c r="D12" s="14" t="s">
        <v>538</v>
      </c>
      <c r="E12" s="14" t="s">
        <v>556</v>
      </c>
      <c r="F12" s="8" t="s">
        <v>557</v>
      </c>
      <c r="G12" s="14"/>
    </row>
    <row r="13" spans="1:7" ht="15" x14ac:dyDescent="0.3">
      <c r="A13" s="14" t="s">
        <v>526</v>
      </c>
      <c r="B13" s="14" t="s">
        <v>527</v>
      </c>
      <c r="C13" s="14" t="s">
        <v>558</v>
      </c>
      <c r="D13" s="14" t="s">
        <v>538</v>
      </c>
      <c r="E13" s="14" t="s">
        <v>559</v>
      </c>
      <c r="F13" s="8" t="s">
        <v>560</v>
      </c>
      <c r="G13" s="14"/>
    </row>
    <row r="14" spans="1:7" ht="15" x14ac:dyDescent="0.3">
      <c r="A14" s="14" t="s">
        <v>561</v>
      </c>
      <c r="B14" s="14" t="s">
        <v>536</v>
      </c>
      <c r="C14" s="14" t="s">
        <v>562</v>
      </c>
      <c r="D14" s="14" t="s">
        <v>529</v>
      </c>
      <c r="E14" s="14" t="s">
        <v>73</v>
      </c>
      <c r="F14" s="8" t="s">
        <v>342</v>
      </c>
      <c r="G14" s="14"/>
    </row>
    <row r="15" spans="1:7" ht="15" x14ac:dyDescent="0.3">
      <c r="A15" s="14" t="s">
        <v>561</v>
      </c>
      <c r="B15" s="14" t="s">
        <v>527</v>
      </c>
      <c r="C15" s="14" t="s">
        <v>563</v>
      </c>
      <c r="D15" s="14" t="s">
        <v>529</v>
      </c>
      <c r="E15" s="14" t="s">
        <v>564</v>
      </c>
      <c r="F15" s="8" t="s">
        <v>565</v>
      </c>
      <c r="G15" s="14" t="s">
        <v>535</v>
      </c>
    </row>
    <row r="16" spans="1:7" ht="15" x14ac:dyDescent="0.3">
      <c r="A16" s="14" t="s">
        <v>152</v>
      </c>
      <c r="B16" s="14" t="s">
        <v>536</v>
      </c>
      <c r="C16" s="14" t="s">
        <v>566</v>
      </c>
      <c r="D16" s="14" t="s">
        <v>567</v>
      </c>
      <c r="E16" s="14" t="s">
        <v>379</v>
      </c>
      <c r="F16" s="8" t="s">
        <v>380</v>
      </c>
      <c r="G16" s="14"/>
    </row>
    <row r="17" spans="1:7" ht="15" x14ac:dyDescent="0.3">
      <c r="A17" s="14" t="s">
        <v>152</v>
      </c>
      <c r="B17" s="14" t="s">
        <v>536</v>
      </c>
      <c r="C17" s="14" t="s">
        <v>568</v>
      </c>
      <c r="D17" s="14" t="s">
        <v>569</v>
      </c>
      <c r="E17" s="14" t="s">
        <v>381</v>
      </c>
      <c r="F17" s="8" t="s">
        <v>382</v>
      </c>
      <c r="G17" s="14"/>
    </row>
    <row r="18" spans="1:7" ht="15" x14ac:dyDescent="0.3">
      <c r="A18" s="14" t="s">
        <v>152</v>
      </c>
      <c r="B18" s="14" t="s">
        <v>536</v>
      </c>
      <c r="C18" s="14" t="s">
        <v>570</v>
      </c>
      <c r="D18" s="14" t="s">
        <v>567</v>
      </c>
      <c r="E18" s="14" t="s">
        <v>571</v>
      </c>
      <c r="F18" s="8" t="s">
        <v>572</v>
      </c>
      <c r="G18" s="14"/>
    </row>
    <row r="19" spans="1:7" ht="15" x14ac:dyDescent="0.3">
      <c r="A19" s="14" t="s">
        <v>152</v>
      </c>
      <c r="B19" s="14" t="s">
        <v>536</v>
      </c>
      <c r="C19" s="14" t="s">
        <v>573</v>
      </c>
      <c r="D19" s="14" t="s">
        <v>567</v>
      </c>
      <c r="E19" s="14" t="s">
        <v>574</v>
      </c>
      <c r="F19" s="8" t="s">
        <v>384</v>
      </c>
      <c r="G19" s="14"/>
    </row>
    <row r="20" spans="1:7" ht="15" x14ac:dyDescent="0.3">
      <c r="A20" s="14" t="s">
        <v>152</v>
      </c>
      <c r="B20" s="14" t="s">
        <v>527</v>
      </c>
      <c r="C20" s="14" t="s">
        <v>575</v>
      </c>
      <c r="D20" s="14" t="s">
        <v>538</v>
      </c>
      <c r="E20" s="14" t="s">
        <v>576</v>
      </c>
      <c r="F20" s="8" t="s">
        <v>577</v>
      </c>
      <c r="G20" s="14"/>
    </row>
    <row r="21" spans="1:7" ht="15" x14ac:dyDescent="0.3">
      <c r="A21" s="14" t="s">
        <v>152</v>
      </c>
      <c r="B21" s="14" t="s">
        <v>544</v>
      </c>
      <c r="C21" s="14" t="s">
        <v>578</v>
      </c>
      <c r="D21" s="14" t="s">
        <v>538</v>
      </c>
      <c r="E21" s="14" t="s">
        <v>579</v>
      </c>
      <c r="F21" s="8" t="s">
        <v>580</v>
      </c>
      <c r="G21" s="14"/>
    </row>
    <row r="22" spans="1:7" ht="15" x14ac:dyDescent="0.3">
      <c r="A22" s="14" t="s">
        <v>152</v>
      </c>
      <c r="B22" s="14" t="s">
        <v>581</v>
      </c>
      <c r="C22" s="14" t="s">
        <v>582</v>
      </c>
      <c r="D22" s="14" t="s">
        <v>538</v>
      </c>
      <c r="E22" s="14" t="s">
        <v>386</v>
      </c>
      <c r="F22" s="8" t="s">
        <v>583</v>
      </c>
      <c r="G22" s="14"/>
    </row>
    <row r="23" spans="1:7" ht="15" x14ac:dyDescent="0.3">
      <c r="A23" s="14" t="s">
        <v>152</v>
      </c>
      <c r="B23" s="14" t="s">
        <v>548</v>
      </c>
      <c r="C23" s="14" t="s">
        <v>584</v>
      </c>
      <c r="D23" s="14" t="s">
        <v>538</v>
      </c>
      <c r="E23" s="14" t="s">
        <v>585</v>
      </c>
      <c r="F23" s="8" t="s">
        <v>586</v>
      </c>
      <c r="G23" s="14"/>
    </row>
    <row r="24" spans="1:7" ht="15" x14ac:dyDescent="0.3">
      <c r="A24" s="14" t="s">
        <v>167</v>
      </c>
      <c r="B24" s="14" t="s">
        <v>536</v>
      </c>
      <c r="C24" s="14" t="s">
        <v>587</v>
      </c>
      <c r="D24" s="14" t="s">
        <v>569</v>
      </c>
      <c r="E24" s="14" t="s">
        <v>588</v>
      </c>
      <c r="F24" s="8" t="s">
        <v>395</v>
      </c>
      <c r="G24" s="14"/>
    </row>
    <row r="25" spans="1:7" ht="15" x14ac:dyDescent="0.3">
      <c r="A25" s="14" t="s">
        <v>167</v>
      </c>
      <c r="B25" s="14" t="s">
        <v>536</v>
      </c>
      <c r="C25" s="14" t="s">
        <v>589</v>
      </c>
      <c r="D25" s="14" t="s">
        <v>569</v>
      </c>
      <c r="E25" s="14" t="s">
        <v>396</v>
      </c>
      <c r="F25" s="8" t="s">
        <v>397</v>
      </c>
      <c r="G25" s="14"/>
    </row>
    <row r="26" spans="1:7" ht="15" x14ac:dyDescent="0.3">
      <c r="A26" s="14" t="s">
        <v>167</v>
      </c>
      <c r="B26" s="14" t="s">
        <v>536</v>
      </c>
      <c r="C26" s="14" t="s">
        <v>590</v>
      </c>
      <c r="D26" s="14" t="s">
        <v>569</v>
      </c>
      <c r="E26" s="14" t="s">
        <v>398</v>
      </c>
      <c r="F26" s="8" t="s">
        <v>591</v>
      </c>
      <c r="G26" s="14"/>
    </row>
    <row r="27" spans="1:7" ht="15" x14ac:dyDescent="0.3">
      <c r="A27" s="14" t="s">
        <v>167</v>
      </c>
      <c r="B27" s="14" t="s">
        <v>536</v>
      </c>
      <c r="C27" s="14" t="s">
        <v>592</v>
      </c>
      <c r="D27" s="14" t="s">
        <v>567</v>
      </c>
      <c r="E27" s="14" t="s">
        <v>593</v>
      </c>
      <c r="F27" s="8" t="s">
        <v>393</v>
      </c>
      <c r="G27" s="14"/>
    </row>
    <row r="28" spans="1:7" ht="15" x14ac:dyDescent="0.3">
      <c r="A28" s="14" t="s">
        <v>167</v>
      </c>
      <c r="B28" s="14" t="s">
        <v>536</v>
      </c>
      <c r="C28" s="14" t="s">
        <v>594</v>
      </c>
      <c r="D28" s="14" t="s">
        <v>567</v>
      </c>
      <c r="E28" s="14" t="s">
        <v>595</v>
      </c>
      <c r="F28" s="8" t="s">
        <v>596</v>
      </c>
      <c r="G28" s="14"/>
    </row>
    <row r="29" spans="1:7" ht="15" x14ac:dyDescent="0.3">
      <c r="A29" s="14" t="s">
        <v>167</v>
      </c>
      <c r="B29" s="14" t="s">
        <v>527</v>
      </c>
      <c r="C29" s="14" t="s">
        <v>597</v>
      </c>
      <c r="D29" s="14" t="s">
        <v>538</v>
      </c>
      <c r="E29" s="14" t="s">
        <v>598</v>
      </c>
      <c r="F29" s="8" t="s">
        <v>599</v>
      </c>
      <c r="G29" s="14"/>
    </row>
    <row r="30" spans="1:7" ht="15" x14ac:dyDescent="0.3">
      <c r="A30" s="14" t="s">
        <v>167</v>
      </c>
      <c r="B30" s="14" t="s">
        <v>544</v>
      </c>
      <c r="C30" s="14" t="s">
        <v>600</v>
      </c>
      <c r="D30" s="14" t="s">
        <v>538</v>
      </c>
      <c r="E30" s="14" t="s">
        <v>601</v>
      </c>
      <c r="F30" s="8" t="s">
        <v>602</v>
      </c>
      <c r="G30" s="14"/>
    </row>
    <row r="31" spans="1:7" ht="15" x14ac:dyDescent="0.3">
      <c r="A31" s="14" t="s">
        <v>167</v>
      </c>
      <c r="B31" s="14" t="s">
        <v>544</v>
      </c>
      <c r="C31" s="14" t="s">
        <v>603</v>
      </c>
      <c r="D31" s="14" t="s">
        <v>538</v>
      </c>
      <c r="E31" s="14" t="s">
        <v>604</v>
      </c>
      <c r="F31" s="8" t="s">
        <v>605</v>
      </c>
      <c r="G31" s="14"/>
    </row>
    <row r="32" spans="1:7" ht="15" x14ac:dyDescent="0.3">
      <c r="A32" s="14" t="s">
        <v>167</v>
      </c>
      <c r="B32" s="14" t="s">
        <v>548</v>
      </c>
      <c r="C32" s="14" t="s">
        <v>606</v>
      </c>
      <c r="D32" s="14" t="s">
        <v>538</v>
      </c>
      <c r="E32" s="14" t="s">
        <v>607</v>
      </c>
      <c r="F32" s="8" t="s">
        <v>406</v>
      </c>
      <c r="G32" s="14"/>
    </row>
    <row r="33" spans="1:7" ht="15" x14ac:dyDescent="0.3">
      <c r="A33" s="14" t="s">
        <v>180</v>
      </c>
      <c r="B33" s="14" t="s">
        <v>536</v>
      </c>
      <c r="C33" s="14" t="s">
        <v>608</v>
      </c>
      <c r="D33" s="14" t="s">
        <v>567</v>
      </c>
      <c r="E33" s="14" t="s">
        <v>609</v>
      </c>
      <c r="F33" s="8" t="s">
        <v>414</v>
      </c>
      <c r="G33" s="14"/>
    </row>
    <row r="34" spans="1:7" ht="15" x14ac:dyDescent="0.3">
      <c r="A34" s="14" t="s">
        <v>180</v>
      </c>
      <c r="B34" s="14" t="s">
        <v>536</v>
      </c>
      <c r="C34" s="14" t="s">
        <v>610</v>
      </c>
      <c r="D34" s="14" t="s">
        <v>569</v>
      </c>
      <c r="E34" s="14" t="s">
        <v>611</v>
      </c>
      <c r="F34" s="8" t="s">
        <v>416</v>
      </c>
      <c r="G34" s="14"/>
    </row>
    <row r="35" spans="1:7" ht="15" x14ac:dyDescent="0.3">
      <c r="A35" s="14" t="s">
        <v>180</v>
      </c>
      <c r="B35" s="14" t="s">
        <v>536</v>
      </c>
      <c r="C35" s="14" t="s">
        <v>612</v>
      </c>
      <c r="D35" s="14" t="s">
        <v>569</v>
      </c>
      <c r="E35" s="14" t="s">
        <v>613</v>
      </c>
      <c r="F35" s="8" t="s">
        <v>449</v>
      </c>
      <c r="G35" s="14"/>
    </row>
    <row r="36" spans="1:7" ht="15" x14ac:dyDescent="0.3">
      <c r="A36" s="14" t="s">
        <v>180</v>
      </c>
      <c r="B36" s="14" t="s">
        <v>536</v>
      </c>
      <c r="C36" s="14" t="s">
        <v>614</v>
      </c>
      <c r="D36" s="14" t="s">
        <v>569</v>
      </c>
      <c r="E36" s="14" t="s">
        <v>615</v>
      </c>
      <c r="F36" s="8" t="s">
        <v>285</v>
      </c>
      <c r="G36" s="14"/>
    </row>
    <row r="37" spans="1:7" ht="15" x14ac:dyDescent="0.3">
      <c r="A37" s="14" t="s">
        <v>180</v>
      </c>
      <c r="B37" s="14" t="s">
        <v>536</v>
      </c>
      <c r="C37" s="14" t="s">
        <v>616</v>
      </c>
      <c r="D37" s="14" t="s">
        <v>567</v>
      </c>
      <c r="E37" s="14" t="s">
        <v>617</v>
      </c>
      <c r="F37" s="8" t="s">
        <v>409</v>
      </c>
      <c r="G37" s="14"/>
    </row>
    <row r="38" spans="1:7" ht="15" x14ac:dyDescent="0.3">
      <c r="A38" s="14" t="s">
        <v>180</v>
      </c>
      <c r="B38" s="14" t="s">
        <v>527</v>
      </c>
      <c r="C38" s="14" t="s">
        <v>618</v>
      </c>
      <c r="D38" s="14" t="s">
        <v>538</v>
      </c>
      <c r="E38" s="14" t="s">
        <v>619</v>
      </c>
      <c r="F38" s="8" t="s">
        <v>620</v>
      </c>
      <c r="G38" s="14"/>
    </row>
    <row r="39" spans="1:7" ht="15" x14ac:dyDescent="0.3">
      <c r="A39" s="14" t="s">
        <v>180</v>
      </c>
      <c r="B39" s="14" t="s">
        <v>544</v>
      </c>
      <c r="C39" s="14" t="s">
        <v>621</v>
      </c>
      <c r="D39" s="14" t="s">
        <v>538</v>
      </c>
      <c r="E39" s="14" t="s">
        <v>622</v>
      </c>
      <c r="F39" s="8" t="s">
        <v>623</v>
      </c>
      <c r="G39" s="14"/>
    </row>
    <row r="40" spans="1:7" ht="15" x14ac:dyDescent="0.3">
      <c r="A40" s="14" t="s">
        <v>180</v>
      </c>
      <c r="B40" s="14" t="s">
        <v>581</v>
      </c>
      <c r="C40" s="14" t="s">
        <v>624</v>
      </c>
      <c r="D40" s="14" t="s">
        <v>538</v>
      </c>
      <c r="E40" s="14" t="s">
        <v>625</v>
      </c>
      <c r="F40" s="8" t="s">
        <v>626</v>
      </c>
      <c r="G40" s="14"/>
    </row>
    <row r="41" spans="1:7" ht="15" x14ac:dyDescent="0.3">
      <c r="A41" s="14" t="s">
        <v>180</v>
      </c>
      <c r="B41" s="14" t="s">
        <v>548</v>
      </c>
      <c r="C41" s="14" t="s">
        <v>627</v>
      </c>
      <c r="D41" s="14" t="s">
        <v>538</v>
      </c>
      <c r="E41" s="14" t="s">
        <v>628</v>
      </c>
      <c r="F41" s="8" t="s">
        <v>629</v>
      </c>
      <c r="G41" s="14"/>
    </row>
    <row r="42" spans="1:7" ht="15" x14ac:dyDescent="0.3">
      <c r="A42" s="14" t="s">
        <v>195</v>
      </c>
      <c r="B42" s="14" t="s">
        <v>527</v>
      </c>
      <c r="C42" s="14" t="s">
        <v>630</v>
      </c>
      <c r="D42" s="14" t="s">
        <v>529</v>
      </c>
      <c r="E42" s="14" t="s">
        <v>631</v>
      </c>
      <c r="F42" s="8" t="s">
        <v>632</v>
      </c>
      <c r="G42" s="14"/>
    </row>
    <row r="43" spans="1:7" ht="15" x14ac:dyDescent="0.3">
      <c r="A43" s="14" t="s">
        <v>195</v>
      </c>
      <c r="B43" s="14" t="s">
        <v>527</v>
      </c>
      <c r="C43" s="14" t="s">
        <v>633</v>
      </c>
      <c r="D43" s="14" t="s">
        <v>569</v>
      </c>
      <c r="E43" s="14" t="s">
        <v>634</v>
      </c>
      <c r="F43" s="8" t="s">
        <v>635</v>
      </c>
      <c r="G43" s="14"/>
    </row>
    <row r="44" spans="1:7" ht="15" x14ac:dyDescent="0.3">
      <c r="A44" s="14" t="s">
        <v>195</v>
      </c>
      <c r="B44" s="14" t="s">
        <v>536</v>
      </c>
      <c r="C44" s="14" t="s">
        <v>636</v>
      </c>
      <c r="D44" s="14" t="s">
        <v>569</v>
      </c>
      <c r="E44" s="14" t="s">
        <v>637</v>
      </c>
      <c r="F44" s="8" t="s">
        <v>638</v>
      </c>
      <c r="G44" s="14"/>
    </row>
    <row r="45" spans="1:7" ht="15" x14ac:dyDescent="0.3">
      <c r="A45" s="14" t="s">
        <v>195</v>
      </c>
      <c r="B45" s="14" t="s">
        <v>536</v>
      </c>
      <c r="C45" s="14" t="s">
        <v>639</v>
      </c>
      <c r="D45" s="14" t="s">
        <v>567</v>
      </c>
      <c r="E45" s="14" t="s">
        <v>640</v>
      </c>
      <c r="F45" s="8" t="s">
        <v>641</v>
      </c>
      <c r="G45" s="14"/>
    </row>
    <row r="46" spans="1:7" ht="15" x14ac:dyDescent="0.3">
      <c r="A46" s="14" t="s">
        <v>195</v>
      </c>
      <c r="B46" s="14" t="s">
        <v>536</v>
      </c>
      <c r="C46" s="14" t="s">
        <v>642</v>
      </c>
      <c r="D46" s="14" t="s">
        <v>567</v>
      </c>
      <c r="E46" s="14" t="s">
        <v>643</v>
      </c>
      <c r="F46" s="8" t="s">
        <v>436</v>
      </c>
      <c r="G46" s="14"/>
    </row>
    <row r="47" spans="1:7" ht="15" x14ac:dyDescent="0.3">
      <c r="A47" s="14" t="s">
        <v>195</v>
      </c>
      <c r="B47" s="14" t="s">
        <v>536</v>
      </c>
      <c r="C47" s="14" t="s">
        <v>644</v>
      </c>
      <c r="D47" s="14" t="s">
        <v>645</v>
      </c>
      <c r="E47" s="14" t="s">
        <v>646</v>
      </c>
      <c r="F47" s="8" t="s">
        <v>647</v>
      </c>
      <c r="G47" s="14"/>
    </row>
    <row r="48" spans="1:7" ht="15" x14ac:dyDescent="0.3">
      <c r="A48" s="14" t="s">
        <v>195</v>
      </c>
      <c r="B48" s="14" t="s">
        <v>544</v>
      </c>
      <c r="C48" s="14" t="s">
        <v>648</v>
      </c>
      <c r="D48" s="14" t="s">
        <v>569</v>
      </c>
      <c r="E48" s="14" t="s">
        <v>649</v>
      </c>
      <c r="F48" s="8" t="s">
        <v>650</v>
      </c>
      <c r="G48" s="14"/>
    </row>
    <row r="49" spans="1:7" ht="15" x14ac:dyDescent="0.3">
      <c r="A49" s="14" t="s">
        <v>195</v>
      </c>
      <c r="B49" s="14" t="s">
        <v>581</v>
      </c>
      <c r="C49" s="14" t="s">
        <v>651</v>
      </c>
      <c r="D49" s="14" t="s">
        <v>567</v>
      </c>
      <c r="E49" s="14" t="s">
        <v>652</v>
      </c>
      <c r="F49" s="8" t="s">
        <v>653</v>
      </c>
      <c r="G49" s="14"/>
    </row>
    <row r="50" spans="1:7" ht="15" x14ac:dyDescent="0.3">
      <c r="A50" s="14" t="s">
        <v>195</v>
      </c>
      <c r="B50" s="14" t="s">
        <v>581</v>
      </c>
      <c r="C50" s="14" t="s">
        <v>654</v>
      </c>
      <c r="D50" s="14" t="s">
        <v>567</v>
      </c>
      <c r="E50" s="14" t="s">
        <v>655</v>
      </c>
      <c r="F50" s="8" t="s">
        <v>656</v>
      </c>
      <c r="G50" s="14"/>
    </row>
    <row r="51" spans="1:7" ht="15" x14ac:dyDescent="0.3">
      <c r="A51" s="14" t="s">
        <v>195</v>
      </c>
      <c r="B51" s="14" t="s">
        <v>581</v>
      </c>
      <c r="C51" s="14" t="s">
        <v>657</v>
      </c>
      <c r="D51" s="14" t="s">
        <v>569</v>
      </c>
      <c r="E51" s="14" t="s">
        <v>658</v>
      </c>
      <c r="F51" s="8" t="s">
        <v>659</v>
      </c>
      <c r="G51" s="14"/>
    </row>
    <row r="52" spans="1:7" ht="15" x14ac:dyDescent="0.3">
      <c r="A52" s="14" t="s">
        <v>195</v>
      </c>
      <c r="B52" s="14" t="s">
        <v>548</v>
      </c>
      <c r="C52" s="14" t="s">
        <v>660</v>
      </c>
      <c r="D52" s="14" t="s">
        <v>538</v>
      </c>
      <c r="E52" s="14" t="s">
        <v>661</v>
      </c>
      <c r="F52" s="8" t="s">
        <v>662</v>
      </c>
      <c r="G52" s="14"/>
    </row>
    <row r="53" spans="1:7" ht="15" x14ac:dyDescent="0.3">
      <c r="A53" s="14" t="s">
        <v>313</v>
      </c>
      <c r="B53" s="14" t="s">
        <v>536</v>
      </c>
      <c r="C53" s="14" t="s">
        <v>663</v>
      </c>
      <c r="D53" s="14" t="s">
        <v>567</v>
      </c>
      <c r="E53" s="14" t="s">
        <v>664</v>
      </c>
      <c r="F53" s="8" t="s">
        <v>665</v>
      </c>
      <c r="G53" s="14"/>
    </row>
    <row r="54" spans="1:7" ht="15" x14ac:dyDescent="0.3">
      <c r="A54" s="14" t="s">
        <v>313</v>
      </c>
      <c r="B54" s="14" t="s">
        <v>536</v>
      </c>
      <c r="C54" s="14" t="s">
        <v>666</v>
      </c>
      <c r="D54" s="14" t="s">
        <v>567</v>
      </c>
      <c r="E54" s="14" t="s">
        <v>667</v>
      </c>
      <c r="F54" s="8" t="s">
        <v>668</v>
      </c>
      <c r="G54" s="14"/>
    </row>
    <row r="55" spans="1:7" ht="15" x14ac:dyDescent="0.3">
      <c r="A55" s="14" t="s">
        <v>669</v>
      </c>
      <c r="B55" s="14" t="s">
        <v>536</v>
      </c>
      <c r="C55" s="14" t="s">
        <v>670</v>
      </c>
      <c r="D55" s="14" t="s">
        <v>538</v>
      </c>
      <c r="E55" s="14" t="s">
        <v>671</v>
      </c>
      <c r="F55" s="8" t="s">
        <v>672</v>
      </c>
      <c r="G55" s="14"/>
    </row>
    <row r="56" spans="1:7" ht="15" x14ac:dyDescent="0.3">
      <c r="A56" s="14" t="s">
        <v>669</v>
      </c>
      <c r="B56" s="14" t="s">
        <v>536</v>
      </c>
      <c r="C56" s="14" t="s">
        <v>673</v>
      </c>
      <c r="D56" s="14" t="s">
        <v>538</v>
      </c>
      <c r="E56" s="14" t="s">
        <v>674</v>
      </c>
      <c r="F56" s="8" t="s">
        <v>675</v>
      </c>
      <c r="G56" s="14"/>
    </row>
    <row r="57" spans="1:7" ht="15" x14ac:dyDescent="0.3">
      <c r="A57" s="14" t="s">
        <v>676</v>
      </c>
      <c r="B57" s="14" t="s">
        <v>527</v>
      </c>
      <c r="C57" s="14" t="s">
        <v>677</v>
      </c>
      <c r="D57" s="14" t="s">
        <v>538</v>
      </c>
      <c r="E57" s="14" t="s">
        <v>678</v>
      </c>
      <c r="F57" s="8" t="s">
        <v>679</v>
      </c>
      <c r="G57" s="14"/>
    </row>
    <row r="58" spans="1:7" ht="15" x14ac:dyDescent="0.3">
      <c r="A58" s="14" t="s">
        <v>680</v>
      </c>
      <c r="B58" s="14" t="s">
        <v>536</v>
      </c>
      <c r="C58" s="14" t="s">
        <v>681</v>
      </c>
      <c r="D58" s="14" t="s">
        <v>529</v>
      </c>
      <c r="E58" s="14" t="s">
        <v>79</v>
      </c>
      <c r="F58" s="8" t="s">
        <v>682</v>
      </c>
      <c r="G58" s="14"/>
    </row>
  </sheetData>
  <mergeCells count="1">
    <mergeCell ref="A1:G1"/>
  </mergeCells>
  <conditionalFormatting sqref="B5:B1000">
    <cfRule type="expression" dxfId="53" priority="1">
      <formula>$B5="GET"</formula>
    </cfRule>
    <cfRule type="expression" dxfId="52" priority="2">
      <formula>$B5="POST"</formula>
    </cfRule>
    <cfRule type="expression" dxfId="51" priority="3">
      <formula>$B5="PUT"</formula>
    </cfRule>
    <cfRule type="expression" dxfId="50" priority="4">
      <formula>$B5="PATCH"</formula>
    </cfRule>
    <cfRule type="expression" dxfId="49" priority="5">
      <formula>$B5="DELETE"</formula>
    </cfRule>
  </conditionalFormatting>
  <conditionalFormatting sqref="D5:D1000">
    <cfRule type="expression" dxfId="48" priority="6">
      <formula>$D5="Pubblico"</formula>
    </cfRule>
    <cfRule type="expression" dxfId="47" priority="7">
      <formula>$D5="Admin"</formula>
    </cfRule>
  </conditionalFormatting>
  <hyperlinks>
    <hyperlink ref="G2" location="'Dashboard'!A1" display="← Torna alla Dashboard" xr:uid="{00000000-0004-0000-0500-000000000000}"/>
  </hyperlinks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E5FAD"/>
  </sheetPr>
  <dimension ref="A1:E69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8" customWidth="1"/>
    <col min="2" max="2" width="40" customWidth="1"/>
    <col min="3" max="3" width="12" customWidth="1"/>
    <col min="4" max="4" width="56" customWidth="1"/>
    <col min="5" max="5" width="36" customWidth="1"/>
  </cols>
  <sheetData>
    <row r="1" spans="1:5" ht="34.049999999999997" customHeight="1" x14ac:dyDescent="0.3">
      <c r="A1" s="28" t="s">
        <v>683</v>
      </c>
      <c r="B1" s="29"/>
      <c r="C1" s="29"/>
      <c r="D1" s="29"/>
      <c r="E1" s="29"/>
    </row>
    <row r="2" spans="1:5" ht="19.95" customHeight="1" x14ac:dyDescent="0.35">
      <c r="A2" s="1" t="s">
        <v>684</v>
      </c>
      <c r="E2" s="12" t="s">
        <v>145</v>
      </c>
    </row>
    <row r="4" spans="1:5" ht="24" customHeight="1" x14ac:dyDescent="0.3">
      <c r="A4" s="13" t="s">
        <v>685</v>
      </c>
      <c r="B4" s="13" t="s">
        <v>364</v>
      </c>
      <c r="C4" s="13" t="s">
        <v>686</v>
      </c>
      <c r="D4" s="13" t="s">
        <v>365</v>
      </c>
      <c r="E4" s="13" t="s">
        <v>687</v>
      </c>
    </row>
    <row r="5" spans="1:5" ht="15" x14ac:dyDescent="0.3">
      <c r="A5" s="14" t="s">
        <v>473</v>
      </c>
      <c r="B5" s="14" t="s">
        <v>369</v>
      </c>
      <c r="C5" s="14" t="s">
        <v>529</v>
      </c>
      <c r="D5" s="8" t="s">
        <v>688</v>
      </c>
      <c r="E5" s="8" t="s">
        <v>689</v>
      </c>
    </row>
    <row r="6" spans="1:5" ht="15" x14ac:dyDescent="0.3">
      <c r="A6" s="14" t="s">
        <v>473</v>
      </c>
      <c r="B6" s="14" t="s">
        <v>371</v>
      </c>
      <c r="C6" s="14" t="s">
        <v>529</v>
      </c>
      <c r="D6" s="8" t="s">
        <v>690</v>
      </c>
      <c r="E6" s="8" t="s">
        <v>689</v>
      </c>
    </row>
    <row r="7" spans="1:5" ht="15" x14ac:dyDescent="0.3">
      <c r="A7" s="14" t="s">
        <v>473</v>
      </c>
      <c r="B7" s="14" t="s">
        <v>373</v>
      </c>
      <c r="C7" s="14" t="s">
        <v>529</v>
      </c>
      <c r="D7" s="8" t="s">
        <v>691</v>
      </c>
      <c r="E7" s="8" t="s">
        <v>689</v>
      </c>
    </row>
    <row r="8" spans="1:5" ht="15" x14ac:dyDescent="0.3">
      <c r="A8" s="14" t="s">
        <v>473</v>
      </c>
      <c r="B8" s="14" t="s">
        <v>367</v>
      </c>
      <c r="C8" s="14" t="s">
        <v>529</v>
      </c>
      <c r="D8" s="8" t="s">
        <v>638</v>
      </c>
      <c r="E8" s="8" t="s">
        <v>689</v>
      </c>
    </row>
    <row r="9" spans="1:5" ht="15" x14ac:dyDescent="0.3">
      <c r="A9" s="14" t="s">
        <v>473</v>
      </c>
      <c r="B9" s="14" t="s">
        <v>433</v>
      </c>
      <c r="C9" s="14" t="s">
        <v>529</v>
      </c>
      <c r="D9" s="8" t="s">
        <v>641</v>
      </c>
      <c r="E9" s="8" t="s">
        <v>689</v>
      </c>
    </row>
    <row r="10" spans="1:5" ht="15" x14ac:dyDescent="0.3">
      <c r="A10" s="14" t="s">
        <v>473</v>
      </c>
      <c r="B10" s="14" t="s">
        <v>435</v>
      </c>
      <c r="C10" s="14" t="s">
        <v>529</v>
      </c>
      <c r="D10" s="8" t="s">
        <v>436</v>
      </c>
      <c r="E10" s="8" t="s">
        <v>689</v>
      </c>
    </row>
    <row r="11" spans="1:5" ht="15" x14ac:dyDescent="0.3">
      <c r="A11" s="14" t="s">
        <v>473</v>
      </c>
      <c r="B11" s="14" t="s">
        <v>692</v>
      </c>
      <c r="C11" s="14" t="s">
        <v>529</v>
      </c>
      <c r="D11" s="8" t="s">
        <v>693</v>
      </c>
      <c r="E11" s="8" t="s">
        <v>689</v>
      </c>
    </row>
    <row r="12" spans="1:5" ht="15" x14ac:dyDescent="0.3">
      <c r="A12" s="14" t="s">
        <v>473</v>
      </c>
      <c r="B12" s="14" t="s">
        <v>694</v>
      </c>
      <c r="C12" s="14" t="s">
        <v>529</v>
      </c>
      <c r="D12" s="8" t="s">
        <v>695</v>
      </c>
      <c r="E12" s="8" t="s">
        <v>689</v>
      </c>
    </row>
    <row r="13" spans="1:5" ht="15" x14ac:dyDescent="0.3">
      <c r="A13" s="14" t="s">
        <v>473</v>
      </c>
      <c r="B13" s="14" t="s">
        <v>696</v>
      </c>
      <c r="C13" s="14" t="s">
        <v>529</v>
      </c>
      <c r="D13" s="8" t="s">
        <v>656</v>
      </c>
      <c r="E13" s="8" t="s">
        <v>689</v>
      </c>
    </row>
    <row r="14" spans="1:5" ht="15" x14ac:dyDescent="0.3">
      <c r="A14" s="14" t="s">
        <v>473</v>
      </c>
      <c r="B14" s="14" t="s">
        <v>697</v>
      </c>
      <c r="C14" s="14" t="s">
        <v>529</v>
      </c>
      <c r="D14" s="8" t="s">
        <v>659</v>
      </c>
      <c r="E14" s="8" t="s">
        <v>689</v>
      </c>
    </row>
    <row r="15" spans="1:5" ht="15" x14ac:dyDescent="0.3">
      <c r="A15" s="14" t="s">
        <v>473</v>
      </c>
      <c r="B15" s="14" t="s">
        <v>698</v>
      </c>
      <c r="C15" s="14" t="s">
        <v>529</v>
      </c>
      <c r="D15" s="8" t="s">
        <v>699</v>
      </c>
      <c r="E15" s="8" t="s">
        <v>700</v>
      </c>
    </row>
    <row r="16" spans="1:5" ht="15" x14ac:dyDescent="0.3">
      <c r="A16" s="14" t="s">
        <v>473</v>
      </c>
      <c r="B16" s="14" t="s">
        <v>701</v>
      </c>
      <c r="C16" s="14" t="s">
        <v>529</v>
      </c>
      <c r="D16" s="8" t="s">
        <v>702</v>
      </c>
      <c r="E16" s="8" t="s">
        <v>703</v>
      </c>
    </row>
    <row r="17" spans="1:5" ht="15" x14ac:dyDescent="0.3">
      <c r="A17" s="14" t="s">
        <v>473</v>
      </c>
      <c r="B17" s="14" t="s">
        <v>704</v>
      </c>
      <c r="C17" s="14" t="s">
        <v>705</v>
      </c>
      <c r="D17" s="8" t="s">
        <v>706</v>
      </c>
      <c r="E17" s="8" t="s">
        <v>707</v>
      </c>
    </row>
    <row r="18" spans="1:5" ht="15" x14ac:dyDescent="0.3">
      <c r="A18" s="14" t="s">
        <v>473</v>
      </c>
      <c r="B18" s="14" t="s">
        <v>708</v>
      </c>
      <c r="C18" s="14" t="s">
        <v>705</v>
      </c>
      <c r="D18" s="8" t="s">
        <v>709</v>
      </c>
      <c r="E18" s="8" t="s">
        <v>710</v>
      </c>
    </row>
    <row r="19" spans="1:5" ht="15" x14ac:dyDescent="0.3">
      <c r="A19" s="14" t="s">
        <v>473</v>
      </c>
      <c r="B19" s="14" t="s">
        <v>711</v>
      </c>
      <c r="C19" s="14" t="s">
        <v>705</v>
      </c>
      <c r="D19" s="8" t="s">
        <v>712</v>
      </c>
      <c r="E19" s="8" t="s">
        <v>707</v>
      </c>
    </row>
    <row r="20" spans="1:5" ht="15" x14ac:dyDescent="0.3">
      <c r="A20" s="14" t="s">
        <v>473</v>
      </c>
      <c r="B20" s="14" t="s">
        <v>713</v>
      </c>
      <c r="C20" s="14" t="s">
        <v>705</v>
      </c>
      <c r="D20" s="8" t="s">
        <v>714</v>
      </c>
      <c r="E20" s="8" t="s">
        <v>715</v>
      </c>
    </row>
    <row r="21" spans="1:5" ht="15" x14ac:dyDescent="0.3">
      <c r="A21" s="14" t="s">
        <v>473</v>
      </c>
      <c r="B21" s="14" t="s">
        <v>716</v>
      </c>
      <c r="C21" s="14" t="s">
        <v>705</v>
      </c>
      <c r="D21" s="8" t="s">
        <v>717</v>
      </c>
      <c r="E21" s="8" t="s">
        <v>698</v>
      </c>
    </row>
    <row r="22" spans="1:5" ht="15" x14ac:dyDescent="0.3">
      <c r="A22" s="14" t="s">
        <v>473</v>
      </c>
      <c r="B22" s="14" t="s">
        <v>718</v>
      </c>
      <c r="C22" s="14" t="s">
        <v>705</v>
      </c>
      <c r="D22" s="8" t="s">
        <v>719</v>
      </c>
      <c r="E22" s="8" t="s">
        <v>720</v>
      </c>
    </row>
    <row r="23" spans="1:5" ht="15" x14ac:dyDescent="0.3">
      <c r="A23" s="14" t="s">
        <v>473</v>
      </c>
      <c r="B23" s="14" t="s">
        <v>721</v>
      </c>
      <c r="C23" s="14" t="s">
        <v>705</v>
      </c>
      <c r="D23" s="8" t="s">
        <v>722</v>
      </c>
      <c r="E23" s="8" t="s">
        <v>707</v>
      </c>
    </row>
    <row r="24" spans="1:5" ht="15" x14ac:dyDescent="0.3">
      <c r="A24" s="14" t="s">
        <v>473</v>
      </c>
      <c r="B24" s="14" t="s">
        <v>723</v>
      </c>
      <c r="C24" s="14" t="s">
        <v>705</v>
      </c>
      <c r="D24" s="8" t="s">
        <v>724</v>
      </c>
      <c r="E24" s="8" t="s">
        <v>725</v>
      </c>
    </row>
    <row r="25" spans="1:5" ht="15" x14ac:dyDescent="0.3">
      <c r="A25" s="14" t="s">
        <v>473</v>
      </c>
      <c r="B25" s="14" t="s">
        <v>726</v>
      </c>
      <c r="C25" s="14" t="s">
        <v>705</v>
      </c>
      <c r="D25" s="8" t="s">
        <v>727</v>
      </c>
      <c r="E25" s="8" t="s">
        <v>728</v>
      </c>
    </row>
    <row r="26" spans="1:5" ht="15" x14ac:dyDescent="0.3">
      <c r="A26" s="14" t="s">
        <v>477</v>
      </c>
      <c r="B26" s="14" t="s">
        <v>729</v>
      </c>
      <c r="C26" s="14" t="s">
        <v>529</v>
      </c>
      <c r="D26" s="8" t="s">
        <v>730</v>
      </c>
      <c r="E26" s="8" t="s">
        <v>473</v>
      </c>
    </row>
    <row r="27" spans="1:5" ht="15" x14ac:dyDescent="0.3">
      <c r="A27" s="14" t="s">
        <v>494</v>
      </c>
      <c r="B27" s="14" t="s">
        <v>731</v>
      </c>
      <c r="C27" s="14" t="s">
        <v>529</v>
      </c>
      <c r="D27" s="8" t="s">
        <v>496</v>
      </c>
      <c r="E27" s="8" t="s">
        <v>732</v>
      </c>
    </row>
    <row r="28" spans="1:5" ht="15" x14ac:dyDescent="0.3">
      <c r="A28" s="14" t="s">
        <v>494</v>
      </c>
      <c r="B28" s="14" t="s">
        <v>733</v>
      </c>
      <c r="C28" s="14" t="s">
        <v>529</v>
      </c>
      <c r="D28" s="8" t="s">
        <v>734</v>
      </c>
      <c r="E28" s="8" t="s">
        <v>731</v>
      </c>
    </row>
    <row r="29" spans="1:5" ht="15" x14ac:dyDescent="0.3">
      <c r="A29" s="14" t="s">
        <v>494</v>
      </c>
      <c r="B29" s="14" t="s">
        <v>735</v>
      </c>
      <c r="C29" s="14" t="s">
        <v>529</v>
      </c>
      <c r="D29" s="8" t="s">
        <v>736</v>
      </c>
      <c r="E29" s="8" t="s">
        <v>477</v>
      </c>
    </row>
    <row r="30" spans="1:5" ht="15" x14ac:dyDescent="0.3">
      <c r="A30" s="14" t="s">
        <v>480</v>
      </c>
      <c r="B30" s="14" t="s">
        <v>737</v>
      </c>
      <c r="C30" s="14" t="s">
        <v>529</v>
      </c>
      <c r="D30" s="8" t="s">
        <v>738</v>
      </c>
      <c r="E30" s="8" t="s">
        <v>689</v>
      </c>
    </row>
    <row r="31" spans="1:5" ht="15" x14ac:dyDescent="0.3">
      <c r="A31" s="14" t="s">
        <v>468</v>
      </c>
      <c r="B31" s="14" t="s">
        <v>369</v>
      </c>
      <c r="C31" s="14" t="s">
        <v>529</v>
      </c>
      <c r="D31" s="8" t="s">
        <v>739</v>
      </c>
      <c r="E31" s="8" t="s">
        <v>740</v>
      </c>
    </row>
    <row r="32" spans="1:5" ht="15" x14ac:dyDescent="0.3">
      <c r="A32" s="14" t="s">
        <v>468</v>
      </c>
      <c r="B32" s="14" t="s">
        <v>371</v>
      </c>
      <c r="C32" s="14" t="s">
        <v>529</v>
      </c>
      <c r="D32" s="8" t="s">
        <v>741</v>
      </c>
      <c r="E32" s="8" t="s">
        <v>740</v>
      </c>
    </row>
    <row r="33" spans="1:5" ht="15" x14ac:dyDescent="0.3">
      <c r="A33" s="14" t="s">
        <v>468</v>
      </c>
      <c r="B33" s="14" t="s">
        <v>373</v>
      </c>
      <c r="C33" s="14" t="s">
        <v>529</v>
      </c>
      <c r="D33" s="8" t="s">
        <v>629</v>
      </c>
      <c r="E33" s="8" t="s">
        <v>740</v>
      </c>
    </row>
    <row r="34" spans="1:5" ht="15" x14ac:dyDescent="0.3">
      <c r="A34" s="14" t="s">
        <v>468</v>
      </c>
      <c r="B34" s="14" t="s">
        <v>625</v>
      </c>
      <c r="C34" s="14" t="s">
        <v>529</v>
      </c>
      <c r="D34" s="8" t="s">
        <v>626</v>
      </c>
      <c r="E34" s="8" t="s">
        <v>740</v>
      </c>
    </row>
    <row r="35" spans="1:5" ht="15" x14ac:dyDescent="0.3">
      <c r="A35" s="14" t="s">
        <v>468</v>
      </c>
      <c r="B35" s="14" t="s">
        <v>742</v>
      </c>
      <c r="C35" s="14" t="s">
        <v>529</v>
      </c>
      <c r="D35" s="8" t="s">
        <v>409</v>
      </c>
      <c r="E35" s="8" t="s">
        <v>740</v>
      </c>
    </row>
    <row r="36" spans="1:5" ht="15" x14ac:dyDescent="0.3">
      <c r="A36" s="14" t="s">
        <v>468</v>
      </c>
      <c r="B36" s="14" t="s">
        <v>413</v>
      </c>
      <c r="C36" s="14" t="s">
        <v>529</v>
      </c>
      <c r="D36" s="8" t="s">
        <v>414</v>
      </c>
      <c r="E36" s="8" t="s">
        <v>740</v>
      </c>
    </row>
    <row r="37" spans="1:5" ht="15" x14ac:dyDescent="0.3">
      <c r="A37" s="14" t="s">
        <v>468</v>
      </c>
      <c r="B37" s="14" t="s">
        <v>415</v>
      </c>
      <c r="C37" s="14" t="s">
        <v>529</v>
      </c>
      <c r="D37" s="8" t="s">
        <v>743</v>
      </c>
      <c r="E37" s="8" t="s">
        <v>740</v>
      </c>
    </row>
    <row r="38" spans="1:5" ht="15" x14ac:dyDescent="0.3">
      <c r="A38" s="14" t="s">
        <v>468</v>
      </c>
      <c r="B38" s="14" t="s">
        <v>417</v>
      </c>
      <c r="C38" s="14" t="s">
        <v>529</v>
      </c>
      <c r="D38" s="8" t="s">
        <v>744</v>
      </c>
      <c r="E38" s="8" t="s">
        <v>745</v>
      </c>
    </row>
    <row r="39" spans="1:5" ht="15" x14ac:dyDescent="0.3">
      <c r="A39" s="14" t="s">
        <v>468</v>
      </c>
      <c r="B39" s="14" t="s">
        <v>746</v>
      </c>
      <c r="C39" s="14" t="s">
        <v>529</v>
      </c>
      <c r="D39" s="8" t="s">
        <v>747</v>
      </c>
      <c r="E39" s="8" t="s">
        <v>740</v>
      </c>
    </row>
    <row r="40" spans="1:5" ht="15" x14ac:dyDescent="0.3">
      <c r="A40" s="14" t="s">
        <v>468</v>
      </c>
      <c r="B40" s="14" t="s">
        <v>748</v>
      </c>
      <c r="C40" s="14" t="s">
        <v>705</v>
      </c>
      <c r="D40" s="8" t="s">
        <v>749</v>
      </c>
      <c r="E40" s="8" t="s">
        <v>707</v>
      </c>
    </row>
    <row r="41" spans="1:5" ht="15" x14ac:dyDescent="0.3">
      <c r="A41" s="14" t="s">
        <v>468</v>
      </c>
      <c r="B41" s="14" t="s">
        <v>750</v>
      </c>
      <c r="C41" s="14" t="s">
        <v>705</v>
      </c>
      <c r="D41" s="8" t="s">
        <v>751</v>
      </c>
      <c r="E41" s="8" t="s">
        <v>707</v>
      </c>
    </row>
    <row r="42" spans="1:5" ht="15" x14ac:dyDescent="0.3">
      <c r="A42" s="14" t="s">
        <v>463</v>
      </c>
      <c r="B42" s="14" t="s">
        <v>369</v>
      </c>
      <c r="C42" s="14" t="s">
        <v>529</v>
      </c>
      <c r="D42" s="8" t="s">
        <v>599</v>
      </c>
      <c r="E42" s="8" t="s">
        <v>752</v>
      </c>
    </row>
    <row r="43" spans="1:5" ht="15" x14ac:dyDescent="0.3">
      <c r="A43" s="14" t="s">
        <v>463</v>
      </c>
      <c r="B43" s="14" t="s">
        <v>371</v>
      </c>
      <c r="C43" s="14" t="s">
        <v>529</v>
      </c>
      <c r="D43" s="8" t="s">
        <v>753</v>
      </c>
      <c r="E43" s="8" t="s">
        <v>752</v>
      </c>
    </row>
    <row r="44" spans="1:5" ht="15" x14ac:dyDescent="0.3">
      <c r="A44" s="14" t="s">
        <v>463</v>
      </c>
      <c r="B44" s="14" t="s">
        <v>373</v>
      </c>
      <c r="C44" s="14" t="s">
        <v>529</v>
      </c>
      <c r="D44" s="8" t="s">
        <v>754</v>
      </c>
      <c r="E44" s="8" t="s">
        <v>752</v>
      </c>
    </row>
    <row r="45" spans="1:5" ht="15" x14ac:dyDescent="0.3">
      <c r="A45" s="14" t="s">
        <v>463</v>
      </c>
      <c r="B45" s="14" t="s">
        <v>604</v>
      </c>
      <c r="C45" s="14" t="s">
        <v>529</v>
      </c>
      <c r="D45" s="8" t="s">
        <v>755</v>
      </c>
      <c r="E45" s="8" t="s">
        <v>752</v>
      </c>
    </row>
    <row r="46" spans="1:5" ht="15" x14ac:dyDescent="0.3">
      <c r="A46" s="14" t="s">
        <v>463</v>
      </c>
      <c r="B46" s="14" t="s">
        <v>756</v>
      </c>
      <c r="C46" s="14" t="s">
        <v>529</v>
      </c>
      <c r="D46" s="8" t="s">
        <v>393</v>
      </c>
      <c r="E46" s="8" t="s">
        <v>752</v>
      </c>
    </row>
    <row r="47" spans="1:5" ht="15" x14ac:dyDescent="0.3">
      <c r="A47" s="14" t="s">
        <v>463</v>
      </c>
      <c r="B47" s="14" t="s">
        <v>394</v>
      </c>
      <c r="C47" s="14" t="s">
        <v>529</v>
      </c>
      <c r="D47" s="8" t="s">
        <v>757</v>
      </c>
      <c r="E47" s="8" t="s">
        <v>752</v>
      </c>
    </row>
    <row r="48" spans="1:5" ht="15" x14ac:dyDescent="0.3">
      <c r="A48" s="14" t="s">
        <v>463</v>
      </c>
      <c r="B48" s="14" t="s">
        <v>396</v>
      </c>
      <c r="C48" s="14" t="s">
        <v>529</v>
      </c>
      <c r="D48" s="8" t="s">
        <v>397</v>
      </c>
      <c r="E48" s="8" t="s">
        <v>752</v>
      </c>
    </row>
    <row r="49" spans="1:5" ht="15" x14ac:dyDescent="0.3">
      <c r="A49" s="14" t="s">
        <v>463</v>
      </c>
      <c r="B49" s="14" t="s">
        <v>398</v>
      </c>
      <c r="C49" s="14" t="s">
        <v>529</v>
      </c>
      <c r="D49" s="8" t="s">
        <v>591</v>
      </c>
      <c r="E49" s="8" t="s">
        <v>752</v>
      </c>
    </row>
    <row r="50" spans="1:5" ht="15" x14ac:dyDescent="0.3">
      <c r="A50" s="14" t="s">
        <v>463</v>
      </c>
      <c r="B50" s="14" t="s">
        <v>595</v>
      </c>
      <c r="C50" s="14" t="s">
        <v>529</v>
      </c>
      <c r="D50" s="8" t="s">
        <v>758</v>
      </c>
      <c r="E50" s="8" t="s">
        <v>752</v>
      </c>
    </row>
    <row r="51" spans="1:5" ht="15" x14ac:dyDescent="0.3">
      <c r="A51" s="14" t="s">
        <v>463</v>
      </c>
      <c r="B51" s="14" t="s">
        <v>759</v>
      </c>
      <c r="C51" s="14" t="s">
        <v>705</v>
      </c>
      <c r="D51" s="8" t="s">
        <v>760</v>
      </c>
      <c r="E51" s="8" t="s">
        <v>707</v>
      </c>
    </row>
    <row r="52" spans="1:5" ht="15" x14ac:dyDescent="0.3">
      <c r="A52" s="14" t="s">
        <v>458</v>
      </c>
      <c r="B52" s="14" t="s">
        <v>369</v>
      </c>
      <c r="C52" s="14" t="s">
        <v>529</v>
      </c>
      <c r="D52" s="8" t="s">
        <v>761</v>
      </c>
      <c r="E52" s="8" t="s">
        <v>762</v>
      </c>
    </row>
    <row r="53" spans="1:5" ht="15" x14ac:dyDescent="0.3">
      <c r="A53" s="14" t="s">
        <v>458</v>
      </c>
      <c r="B53" s="14" t="s">
        <v>371</v>
      </c>
      <c r="C53" s="14" t="s">
        <v>529</v>
      </c>
      <c r="D53" s="8" t="s">
        <v>580</v>
      </c>
      <c r="E53" s="8" t="s">
        <v>762</v>
      </c>
    </row>
    <row r="54" spans="1:5" ht="15" x14ac:dyDescent="0.3">
      <c r="A54" s="14" t="s">
        <v>458</v>
      </c>
      <c r="B54" s="14" t="s">
        <v>373</v>
      </c>
      <c r="C54" s="14" t="s">
        <v>529</v>
      </c>
      <c r="D54" s="8" t="s">
        <v>586</v>
      </c>
      <c r="E54" s="8" t="s">
        <v>762</v>
      </c>
    </row>
    <row r="55" spans="1:5" ht="15" x14ac:dyDescent="0.3">
      <c r="A55" s="14" t="s">
        <v>458</v>
      </c>
      <c r="B55" s="14" t="s">
        <v>386</v>
      </c>
      <c r="C55" s="14" t="s">
        <v>529</v>
      </c>
      <c r="D55" s="8" t="s">
        <v>583</v>
      </c>
      <c r="E55" s="8" t="s">
        <v>762</v>
      </c>
    </row>
    <row r="56" spans="1:5" ht="15" x14ac:dyDescent="0.3">
      <c r="A56" s="14" t="s">
        <v>458</v>
      </c>
      <c r="B56" s="14" t="s">
        <v>367</v>
      </c>
      <c r="C56" s="14" t="s">
        <v>529</v>
      </c>
      <c r="D56" s="8" t="s">
        <v>572</v>
      </c>
      <c r="E56" s="8" t="s">
        <v>762</v>
      </c>
    </row>
    <row r="57" spans="1:5" ht="15" x14ac:dyDescent="0.3">
      <c r="A57" s="14" t="s">
        <v>458</v>
      </c>
      <c r="B57" s="14" t="s">
        <v>379</v>
      </c>
      <c r="C57" s="14" t="s">
        <v>529</v>
      </c>
      <c r="D57" s="8" t="s">
        <v>763</v>
      </c>
      <c r="E57" s="8" t="s">
        <v>762</v>
      </c>
    </row>
    <row r="58" spans="1:5" ht="15" x14ac:dyDescent="0.3">
      <c r="A58" s="14" t="s">
        <v>458</v>
      </c>
      <c r="B58" s="14" t="s">
        <v>381</v>
      </c>
      <c r="C58" s="14" t="s">
        <v>529</v>
      </c>
      <c r="D58" s="8" t="s">
        <v>764</v>
      </c>
      <c r="E58" s="8" t="s">
        <v>762</v>
      </c>
    </row>
    <row r="59" spans="1:5" ht="15" x14ac:dyDescent="0.3">
      <c r="A59" s="14" t="s">
        <v>458</v>
      </c>
      <c r="B59" s="14" t="s">
        <v>383</v>
      </c>
      <c r="C59" s="14" t="s">
        <v>529</v>
      </c>
      <c r="D59" s="8" t="s">
        <v>384</v>
      </c>
      <c r="E59" s="8" t="s">
        <v>762</v>
      </c>
    </row>
    <row r="60" spans="1:5" ht="15" x14ac:dyDescent="0.3">
      <c r="A60" s="14" t="s">
        <v>458</v>
      </c>
      <c r="B60" s="14" t="s">
        <v>765</v>
      </c>
      <c r="C60" s="14" t="s">
        <v>705</v>
      </c>
      <c r="D60" s="8" t="s">
        <v>766</v>
      </c>
      <c r="E60" s="8" t="s">
        <v>728</v>
      </c>
    </row>
    <row r="61" spans="1:5" ht="15" x14ac:dyDescent="0.3">
      <c r="A61" s="14" t="s">
        <v>484</v>
      </c>
      <c r="B61" s="14" t="s">
        <v>767</v>
      </c>
      <c r="C61" s="14" t="s">
        <v>529</v>
      </c>
      <c r="D61" s="8" t="s">
        <v>768</v>
      </c>
      <c r="E61" s="8" t="s">
        <v>769</v>
      </c>
    </row>
    <row r="62" spans="1:5" ht="15" x14ac:dyDescent="0.3">
      <c r="A62" s="14" t="s">
        <v>484</v>
      </c>
      <c r="B62" s="14" t="s">
        <v>770</v>
      </c>
      <c r="C62" s="14" t="s">
        <v>529</v>
      </c>
      <c r="D62" s="8" t="s">
        <v>771</v>
      </c>
      <c r="E62" s="8" t="s">
        <v>769</v>
      </c>
    </row>
    <row r="63" spans="1:5" ht="15" x14ac:dyDescent="0.3">
      <c r="A63" s="14" t="s">
        <v>487</v>
      </c>
      <c r="B63" s="14" t="s">
        <v>772</v>
      </c>
      <c r="C63" s="14" t="s">
        <v>529</v>
      </c>
      <c r="D63" s="8" t="s">
        <v>773</v>
      </c>
      <c r="E63" s="8" t="s">
        <v>774</v>
      </c>
    </row>
    <row r="64" spans="1:5" ht="15" x14ac:dyDescent="0.3">
      <c r="A64" s="14" t="s">
        <v>487</v>
      </c>
      <c r="B64" s="14" t="s">
        <v>775</v>
      </c>
      <c r="C64" s="14" t="s">
        <v>529</v>
      </c>
      <c r="D64" s="8" t="s">
        <v>776</v>
      </c>
      <c r="E64" s="8" t="s">
        <v>777</v>
      </c>
    </row>
    <row r="65" spans="1:5" ht="15" x14ac:dyDescent="0.3">
      <c r="A65" s="14" t="s">
        <v>498</v>
      </c>
      <c r="B65" s="14" t="s">
        <v>778</v>
      </c>
      <c r="C65" s="14" t="s">
        <v>529</v>
      </c>
      <c r="D65" s="8" t="s">
        <v>779</v>
      </c>
      <c r="E65" s="8" t="s">
        <v>780</v>
      </c>
    </row>
    <row r="66" spans="1:5" ht="15" x14ac:dyDescent="0.3">
      <c r="A66" s="14" t="s">
        <v>503</v>
      </c>
      <c r="B66" s="14" t="s">
        <v>781</v>
      </c>
      <c r="C66" s="14" t="s">
        <v>529</v>
      </c>
      <c r="D66" s="8" t="s">
        <v>782</v>
      </c>
      <c r="E66" s="8" t="s">
        <v>783</v>
      </c>
    </row>
    <row r="67" spans="1:5" ht="15" x14ac:dyDescent="0.3">
      <c r="A67" s="14" t="s">
        <v>506</v>
      </c>
      <c r="B67" s="14" t="s">
        <v>784</v>
      </c>
      <c r="C67" s="14" t="s">
        <v>529</v>
      </c>
      <c r="D67" s="8" t="s">
        <v>785</v>
      </c>
      <c r="E67" s="8" t="s">
        <v>786</v>
      </c>
    </row>
    <row r="68" spans="1:5" ht="15" x14ac:dyDescent="0.3">
      <c r="A68" s="14" t="s">
        <v>512</v>
      </c>
      <c r="B68" s="14" t="s">
        <v>787</v>
      </c>
      <c r="C68" s="14" t="s">
        <v>529</v>
      </c>
      <c r="D68" s="8" t="s">
        <v>513</v>
      </c>
      <c r="E68" s="8" t="s">
        <v>788</v>
      </c>
    </row>
    <row r="69" spans="1:5" ht="15" x14ac:dyDescent="0.3">
      <c r="A69" s="14" t="s">
        <v>789</v>
      </c>
      <c r="B69" s="14" t="s">
        <v>790</v>
      </c>
      <c r="C69" s="14" t="s">
        <v>529</v>
      </c>
      <c r="D69" s="8" t="s">
        <v>791</v>
      </c>
      <c r="E69" s="8" t="s">
        <v>786</v>
      </c>
    </row>
  </sheetData>
  <mergeCells count="1">
    <mergeCell ref="A1:E1"/>
  </mergeCells>
  <conditionalFormatting sqref="C5:C1000">
    <cfRule type="expression" dxfId="46" priority="1">
      <formula>$C5="Pubblico"</formula>
    </cfRule>
    <cfRule type="expression" dxfId="45" priority="2">
      <formula>$C5="Interno"</formula>
    </cfRule>
  </conditionalFormatting>
  <hyperlinks>
    <hyperlink ref="E2" location="'Dashboard'!A1" display="← Torna alla Dashboard" xr:uid="{00000000-0004-0000-0600-000000000000}"/>
  </hyperlinks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E5FAD"/>
  </sheetPr>
  <dimension ref="A1:C13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4" customWidth="1"/>
    <col min="2" max="2" width="28" customWidth="1"/>
    <col min="3" max="3" width="90" customWidth="1"/>
  </cols>
  <sheetData>
    <row r="1" spans="1:3" ht="34.049999999999997" customHeight="1" x14ac:dyDescent="0.3">
      <c r="A1" s="28" t="s">
        <v>792</v>
      </c>
      <c r="B1" s="29"/>
      <c r="C1" s="29"/>
    </row>
    <row r="2" spans="1:3" ht="19.95" customHeight="1" x14ac:dyDescent="0.35">
      <c r="A2" s="1" t="s">
        <v>793</v>
      </c>
      <c r="C2" s="12" t="s">
        <v>145</v>
      </c>
    </row>
    <row r="4" spans="1:3" ht="24" customHeight="1" x14ac:dyDescent="0.3">
      <c r="A4" s="13" t="s">
        <v>794</v>
      </c>
      <c r="B4" s="13" t="s">
        <v>795</v>
      </c>
      <c r="C4" s="13" t="s">
        <v>796</v>
      </c>
    </row>
    <row r="5" spans="1:3" ht="15" x14ac:dyDescent="0.3">
      <c r="A5" s="14" t="s">
        <v>797</v>
      </c>
      <c r="B5" s="14" t="s">
        <v>259</v>
      </c>
      <c r="C5" s="8" t="s">
        <v>798</v>
      </c>
    </row>
    <row r="6" spans="1:3" ht="15" x14ac:dyDescent="0.3">
      <c r="A6" s="14" t="s">
        <v>799</v>
      </c>
      <c r="B6" s="14" t="s">
        <v>262</v>
      </c>
      <c r="C6" s="8" t="s">
        <v>800</v>
      </c>
    </row>
    <row r="7" spans="1:3" ht="15" x14ac:dyDescent="0.3">
      <c r="A7" s="14" t="s">
        <v>801</v>
      </c>
      <c r="B7" s="14" t="s">
        <v>266</v>
      </c>
      <c r="C7" s="8" t="s">
        <v>802</v>
      </c>
    </row>
    <row r="8" spans="1:3" ht="15" x14ac:dyDescent="0.3">
      <c r="A8" s="14" t="s">
        <v>803</v>
      </c>
      <c r="B8" s="14" t="s">
        <v>280</v>
      </c>
      <c r="C8" s="8" t="s">
        <v>804</v>
      </c>
    </row>
    <row r="9" spans="1:3" ht="15" x14ac:dyDescent="0.3">
      <c r="A9" s="14" t="s">
        <v>805</v>
      </c>
      <c r="B9" s="14" t="s">
        <v>287</v>
      </c>
      <c r="C9" s="8" t="s">
        <v>806</v>
      </c>
    </row>
    <row r="10" spans="1:3" ht="15" x14ac:dyDescent="0.3">
      <c r="A10" s="14" t="s">
        <v>807</v>
      </c>
      <c r="B10" s="14" t="s">
        <v>299</v>
      </c>
      <c r="C10" s="8" t="s">
        <v>808</v>
      </c>
    </row>
    <row r="11" spans="1:3" ht="15" x14ac:dyDescent="0.3">
      <c r="A11" s="14" t="s">
        <v>809</v>
      </c>
      <c r="B11" s="14" t="s">
        <v>325</v>
      </c>
      <c r="C11" s="8" t="s">
        <v>810</v>
      </c>
    </row>
    <row r="12" spans="1:3" ht="15" x14ac:dyDescent="0.3">
      <c r="A12" s="14" t="s">
        <v>811</v>
      </c>
      <c r="B12" s="14" t="s">
        <v>328</v>
      </c>
      <c r="C12" s="8" t="s">
        <v>812</v>
      </c>
    </row>
    <row r="13" spans="1:3" ht="15" x14ac:dyDescent="0.3">
      <c r="A13" s="14" t="s">
        <v>813</v>
      </c>
      <c r="B13" s="14" t="s">
        <v>337</v>
      </c>
      <c r="C13" s="8" t="s">
        <v>814</v>
      </c>
    </row>
  </sheetData>
  <mergeCells count="1">
    <mergeCell ref="A1:C1"/>
  </mergeCells>
  <hyperlinks>
    <hyperlink ref="C2" location="'Dashboard'!A1" display="← Torna alla Dashboard" xr:uid="{00000000-0004-0000-0700-000000000000}"/>
  </hyperlinks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2E5FAD"/>
  </sheetPr>
  <dimension ref="A1:C34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0" customWidth="1"/>
    <col min="2" max="2" width="18" customWidth="1"/>
    <col min="3" max="3" width="90" customWidth="1"/>
  </cols>
  <sheetData>
    <row r="1" spans="1:3" ht="34.049999999999997" customHeight="1" x14ac:dyDescent="0.3">
      <c r="A1" s="28" t="s">
        <v>815</v>
      </c>
      <c r="B1" s="29"/>
      <c r="C1" s="29"/>
    </row>
    <row r="2" spans="1:3" ht="19.95" customHeight="1" x14ac:dyDescent="0.35">
      <c r="A2" s="1" t="s">
        <v>816</v>
      </c>
      <c r="C2" s="12" t="s">
        <v>145</v>
      </c>
    </row>
    <row r="4" spans="1:3" ht="24" customHeight="1" x14ac:dyDescent="0.3">
      <c r="A4" s="13" t="s">
        <v>817</v>
      </c>
      <c r="B4" s="13" t="s">
        <v>149</v>
      </c>
      <c r="C4" s="13" t="s">
        <v>365</v>
      </c>
    </row>
    <row r="5" spans="1:3" ht="15" x14ac:dyDescent="0.3">
      <c r="A5" s="14" t="s">
        <v>818</v>
      </c>
      <c r="B5" s="14" t="s">
        <v>819</v>
      </c>
      <c r="C5" s="8" t="s">
        <v>820</v>
      </c>
    </row>
    <row r="6" spans="1:3" ht="15" x14ac:dyDescent="0.3">
      <c r="A6" s="14" t="s">
        <v>821</v>
      </c>
      <c r="B6" s="14" t="s">
        <v>822</v>
      </c>
      <c r="C6" s="8" t="s">
        <v>823</v>
      </c>
    </row>
    <row r="7" spans="1:3" ht="15" x14ac:dyDescent="0.3">
      <c r="A7" s="14" t="s">
        <v>824</v>
      </c>
      <c r="B7" s="14" t="s">
        <v>822</v>
      </c>
      <c r="C7" s="8" t="s">
        <v>825</v>
      </c>
    </row>
    <row r="8" spans="1:3" ht="15" x14ac:dyDescent="0.3">
      <c r="A8" s="14" t="s">
        <v>826</v>
      </c>
      <c r="B8" s="14" t="s">
        <v>822</v>
      </c>
      <c r="C8" s="8" t="s">
        <v>827</v>
      </c>
    </row>
    <row r="9" spans="1:3" ht="15" x14ac:dyDescent="0.3">
      <c r="A9" s="14" t="s">
        <v>828</v>
      </c>
      <c r="B9" s="14" t="s">
        <v>822</v>
      </c>
      <c r="C9" s="8" t="s">
        <v>829</v>
      </c>
    </row>
    <row r="10" spans="1:3" ht="15" x14ac:dyDescent="0.3">
      <c r="A10" s="14" t="s">
        <v>830</v>
      </c>
      <c r="B10" s="14" t="s">
        <v>822</v>
      </c>
      <c r="C10" s="8" t="s">
        <v>831</v>
      </c>
    </row>
    <row r="11" spans="1:3" ht="15" x14ac:dyDescent="0.3">
      <c r="A11" s="14" t="s">
        <v>832</v>
      </c>
      <c r="B11" s="14" t="s">
        <v>822</v>
      </c>
      <c r="C11" s="8" t="s">
        <v>833</v>
      </c>
    </row>
    <row r="12" spans="1:3" ht="15" x14ac:dyDescent="0.3">
      <c r="A12" s="14" t="s">
        <v>789</v>
      </c>
      <c r="B12" s="14" t="s">
        <v>822</v>
      </c>
      <c r="C12" s="8" t="s">
        <v>834</v>
      </c>
    </row>
    <row r="13" spans="1:3" ht="15" x14ac:dyDescent="0.3">
      <c r="A13" s="14" t="s">
        <v>835</v>
      </c>
      <c r="B13" s="14" t="s">
        <v>822</v>
      </c>
      <c r="C13" s="8" t="s">
        <v>836</v>
      </c>
    </row>
    <row r="14" spans="1:3" ht="15" x14ac:dyDescent="0.3">
      <c r="A14" s="14" t="s">
        <v>837</v>
      </c>
      <c r="B14" s="14" t="s">
        <v>838</v>
      </c>
      <c r="C14" s="8" t="s">
        <v>839</v>
      </c>
    </row>
    <row r="15" spans="1:3" ht="15" x14ac:dyDescent="0.3">
      <c r="A15" s="14" t="s">
        <v>840</v>
      </c>
      <c r="B15" s="14" t="s">
        <v>838</v>
      </c>
      <c r="C15" s="8" t="s">
        <v>841</v>
      </c>
    </row>
    <row r="16" spans="1:3" ht="15" x14ac:dyDescent="0.3">
      <c r="A16" s="14" t="s">
        <v>842</v>
      </c>
      <c r="B16" s="14" t="s">
        <v>838</v>
      </c>
      <c r="C16" s="8" t="s">
        <v>843</v>
      </c>
    </row>
    <row r="17" spans="1:3" ht="15" x14ac:dyDescent="0.3">
      <c r="A17" s="14" t="s">
        <v>844</v>
      </c>
      <c r="B17" s="14" t="s">
        <v>838</v>
      </c>
      <c r="C17" s="8" t="s">
        <v>845</v>
      </c>
    </row>
    <row r="18" spans="1:3" ht="15" x14ac:dyDescent="0.3">
      <c r="A18" s="14" t="s">
        <v>846</v>
      </c>
      <c r="B18" s="14" t="s">
        <v>838</v>
      </c>
      <c r="C18" s="8" t="s">
        <v>847</v>
      </c>
    </row>
    <row r="19" spans="1:3" ht="15" x14ac:dyDescent="0.3">
      <c r="A19" s="14" t="s">
        <v>848</v>
      </c>
      <c r="B19" s="14" t="s">
        <v>849</v>
      </c>
      <c r="C19" s="8" t="s">
        <v>850</v>
      </c>
    </row>
    <row r="20" spans="1:3" ht="15" x14ac:dyDescent="0.3">
      <c r="A20" s="14" t="s">
        <v>851</v>
      </c>
      <c r="B20" s="14" t="s">
        <v>849</v>
      </c>
      <c r="C20" s="8" t="s">
        <v>852</v>
      </c>
    </row>
    <row r="21" spans="1:3" ht="15" x14ac:dyDescent="0.3">
      <c r="A21" s="14" t="s">
        <v>853</v>
      </c>
      <c r="B21" s="14" t="s">
        <v>849</v>
      </c>
      <c r="C21" s="8" t="s">
        <v>854</v>
      </c>
    </row>
    <row r="22" spans="1:3" ht="15" x14ac:dyDescent="0.3">
      <c r="A22" s="14" t="s">
        <v>855</v>
      </c>
      <c r="B22" s="14" t="s">
        <v>849</v>
      </c>
      <c r="C22" s="8" t="s">
        <v>856</v>
      </c>
    </row>
    <row r="23" spans="1:3" ht="15" x14ac:dyDescent="0.3">
      <c r="A23" s="14" t="s">
        <v>857</v>
      </c>
      <c r="B23" s="14" t="s">
        <v>849</v>
      </c>
      <c r="C23" s="8" t="s">
        <v>858</v>
      </c>
    </row>
    <row r="24" spans="1:3" ht="15" x14ac:dyDescent="0.3">
      <c r="A24" s="14" t="s">
        <v>859</v>
      </c>
      <c r="B24" s="14" t="s">
        <v>849</v>
      </c>
      <c r="C24" s="8" t="s">
        <v>860</v>
      </c>
    </row>
    <row r="25" spans="1:3" ht="15" x14ac:dyDescent="0.3">
      <c r="A25" s="14" t="s">
        <v>861</v>
      </c>
      <c r="B25" s="14" t="s">
        <v>849</v>
      </c>
      <c r="C25" s="8" t="s">
        <v>862</v>
      </c>
    </row>
    <row r="26" spans="1:3" ht="15" x14ac:dyDescent="0.3">
      <c r="A26" s="14" t="s">
        <v>863</v>
      </c>
      <c r="B26" s="14" t="s">
        <v>849</v>
      </c>
      <c r="C26" s="8" t="s">
        <v>864</v>
      </c>
    </row>
    <row r="27" spans="1:3" ht="15" x14ac:dyDescent="0.3">
      <c r="A27" s="14" t="s">
        <v>865</v>
      </c>
      <c r="B27" s="14" t="s">
        <v>849</v>
      </c>
      <c r="C27" s="8" t="s">
        <v>866</v>
      </c>
    </row>
    <row r="28" spans="1:3" ht="15" x14ac:dyDescent="0.3">
      <c r="A28" s="14" t="s">
        <v>867</v>
      </c>
      <c r="B28" s="14" t="s">
        <v>868</v>
      </c>
      <c r="C28" s="8" t="s">
        <v>869</v>
      </c>
    </row>
    <row r="29" spans="1:3" ht="15" x14ac:dyDescent="0.3">
      <c r="A29" s="14" t="s">
        <v>870</v>
      </c>
      <c r="B29" s="14" t="s">
        <v>868</v>
      </c>
      <c r="C29" s="8" t="s">
        <v>871</v>
      </c>
    </row>
    <row r="30" spans="1:3" ht="15" x14ac:dyDescent="0.3">
      <c r="A30" s="14" t="s">
        <v>872</v>
      </c>
      <c r="B30" s="14" t="s">
        <v>868</v>
      </c>
      <c r="C30" s="8" t="s">
        <v>873</v>
      </c>
    </row>
    <row r="31" spans="1:3" ht="15" x14ac:dyDescent="0.3">
      <c r="A31" s="14" t="s">
        <v>874</v>
      </c>
      <c r="B31" s="14" t="s">
        <v>126</v>
      </c>
      <c r="C31" s="8" t="s">
        <v>875</v>
      </c>
    </row>
    <row r="32" spans="1:3" ht="15" x14ac:dyDescent="0.3">
      <c r="A32" s="14" t="s">
        <v>876</v>
      </c>
      <c r="B32" s="14" t="s">
        <v>126</v>
      </c>
      <c r="C32" s="8" t="s">
        <v>877</v>
      </c>
    </row>
    <row r="33" spans="1:3" ht="15" x14ac:dyDescent="0.3">
      <c r="A33" s="14" t="s">
        <v>878</v>
      </c>
      <c r="B33" s="14" t="s">
        <v>126</v>
      </c>
      <c r="C33" s="8" t="s">
        <v>879</v>
      </c>
    </row>
    <row r="34" spans="1:3" ht="15" x14ac:dyDescent="0.3">
      <c r="A34" s="14" t="s">
        <v>880</v>
      </c>
      <c r="B34" s="14" t="s">
        <v>126</v>
      </c>
      <c r="C34" s="8" t="s">
        <v>881</v>
      </c>
    </row>
  </sheetData>
  <mergeCells count="1">
    <mergeCell ref="A1:C1"/>
  </mergeCells>
  <conditionalFormatting sqref="B5:B1000">
    <cfRule type="expression" dxfId="44" priority="1">
      <formula>$B5="Middleware"</formula>
    </cfRule>
    <cfRule type="expression" dxfId="43" priority="2">
      <formula>$B5="Eccezione"</formula>
    </cfRule>
    <cfRule type="expression" dxfId="42" priority="3">
      <formula>$B5="Estensione"</formula>
    </cfRule>
    <cfRule type="expression" dxfId="41" priority="4">
      <formula>$B5="Configurazione"</formula>
    </cfRule>
    <cfRule type="expression" dxfId="40" priority="5">
      <formula>$B5="Riga di comando"</formula>
    </cfRule>
    <cfRule type="expression" dxfId="39" priority="6">
      <formula>$B5="Deploy"</formula>
    </cfRule>
  </conditionalFormatting>
  <hyperlinks>
    <hyperlink ref="C2" location="'Dashboard'!A1" display="← Torna alla Dashboard" xr:uid="{00000000-0004-0000-0800-000000000000}"/>
  </hyperlinks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2E5FAD"/>
  </sheetPr>
  <dimension ref="A1:E26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2" width="40" customWidth="1"/>
    <col min="3" max="3" width="24" customWidth="1"/>
    <col min="4" max="4" width="10" customWidth="1"/>
    <col min="5" max="5" width="50" customWidth="1"/>
  </cols>
  <sheetData>
    <row r="1" spans="1:5" ht="34.049999999999997" customHeight="1" x14ac:dyDescent="0.3">
      <c r="A1" s="28" t="s">
        <v>882</v>
      </c>
      <c r="B1" s="29"/>
      <c r="C1" s="29"/>
      <c r="D1" s="29"/>
      <c r="E1" s="29"/>
    </row>
    <row r="2" spans="1:5" ht="19.95" customHeight="1" x14ac:dyDescent="0.35">
      <c r="A2" s="1" t="s">
        <v>883</v>
      </c>
      <c r="E2" s="12" t="s">
        <v>145</v>
      </c>
    </row>
    <row r="3" spans="1:5" ht="19.2" x14ac:dyDescent="0.45">
      <c r="A3" s="15" t="s">
        <v>884</v>
      </c>
      <c r="B3" s="16">
        <f>SUM(D5:D1000)</f>
        <v>292</v>
      </c>
    </row>
    <row r="4" spans="1:5" ht="24" customHeight="1" x14ac:dyDescent="0.3">
      <c r="A4" s="13" t="s">
        <v>885</v>
      </c>
      <c r="B4" s="13" t="s">
        <v>886</v>
      </c>
      <c r="C4" s="13" t="s">
        <v>887</v>
      </c>
      <c r="D4" s="13" t="s">
        <v>888</v>
      </c>
      <c r="E4" s="13" t="s">
        <v>151</v>
      </c>
    </row>
    <row r="5" spans="1:5" ht="15" x14ac:dyDescent="0.3">
      <c r="A5" s="14" t="s">
        <v>889</v>
      </c>
      <c r="B5" s="8" t="s">
        <v>473</v>
      </c>
      <c r="C5" s="14" t="s">
        <v>890</v>
      </c>
      <c r="D5" s="14">
        <v>101</v>
      </c>
      <c r="E5" s="8" t="s">
        <v>891</v>
      </c>
    </row>
    <row r="6" spans="1:5" ht="15" x14ac:dyDescent="0.3">
      <c r="A6" s="14" t="s">
        <v>892</v>
      </c>
      <c r="B6" s="8" t="s">
        <v>484</v>
      </c>
      <c r="C6" s="14" t="s">
        <v>893</v>
      </c>
      <c r="D6" s="14">
        <v>25</v>
      </c>
      <c r="E6" s="8"/>
    </row>
    <row r="7" spans="1:5" ht="15" x14ac:dyDescent="0.3">
      <c r="A7" s="14" t="s">
        <v>894</v>
      </c>
      <c r="B7" s="8" t="s">
        <v>468</v>
      </c>
      <c r="C7" s="14" t="s">
        <v>895</v>
      </c>
      <c r="D7" s="14">
        <v>16</v>
      </c>
      <c r="E7" s="8" t="s">
        <v>896</v>
      </c>
    </row>
    <row r="8" spans="1:5" ht="15" x14ac:dyDescent="0.3">
      <c r="A8" s="14" t="s">
        <v>897</v>
      </c>
      <c r="B8" s="8" t="s">
        <v>494</v>
      </c>
      <c r="C8" s="14" t="s">
        <v>898</v>
      </c>
      <c r="D8" s="14">
        <v>15</v>
      </c>
      <c r="E8" s="8" t="s">
        <v>899</v>
      </c>
    </row>
    <row r="9" spans="1:5" ht="15" x14ac:dyDescent="0.3">
      <c r="A9" s="14" t="s">
        <v>900</v>
      </c>
      <c r="B9" s="8" t="s">
        <v>477</v>
      </c>
      <c r="C9" s="14" t="s">
        <v>895</v>
      </c>
      <c r="D9" s="14">
        <v>13</v>
      </c>
      <c r="E9" s="8"/>
    </row>
    <row r="10" spans="1:5" ht="15" x14ac:dyDescent="0.3">
      <c r="A10" s="14" t="s">
        <v>901</v>
      </c>
      <c r="B10" s="8" t="s">
        <v>512</v>
      </c>
      <c r="C10" s="14" t="s">
        <v>902</v>
      </c>
      <c r="D10" s="14">
        <v>13</v>
      </c>
      <c r="E10" s="8" t="s">
        <v>903</v>
      </c>
    </row>
    <row r="11" spans="1:5" ht="15" x14ac:dyDescent="0.3">
      <c r="A11" s="14" t="s">
        <v>904</v>
      </c>
      <c r="B11" s="8" t="s">
        <v>480</v>
      </c>
      <c r="C11" s="14" t="s">
        <v>895</v>
      </c>
      <c r="D11" s="14">
        <v>12</v>
      </c>
      <c r="E11" s="8"/>
    </row>
    <row r="12" spans="1:5" ht="15" x14ac:dyDescent="0.3">
      <c r="A12" s="14" t="s">
        <v>905</v>
      </c>
      <c r="B12" s="8" t="s">
        <v>463</v>
      </c>
      <c r="C12" s="14" t="s">
        <v>895</v>
      </c>
      <c r="D12" s="14">
        <v>12</v>
      </c>
      <c r="E12" s="8"/>
    </row>
    <row r="13" spans="1:5" ht="15" x14ac:dyDescent="0.3">
      <c r="A13" s="14" t="s">
        <v>906</v>
      </c>
      <c r="B13" s="8" t="s">
        <v>487</v>
      </c>
      <c r="C13" s="14" t="s">
        <v>893</v>
      </c>
      <c r="D13" s="14">
        <v>10</v>
      </c>
      <c r="E13" s="8"/>
    </row>
    <row r="14" spans="1:5" ht="15" x14ac:dyDescent="0.3">
      <c r="A14" s="14" t="s">
        <v>907</v>
      </c>
      <c r="B14" s="8" t="s">
        <v>296</v>
      </c>
      <c r="C14" s="14" t="s">
        <v>902</v>
      </c>
      <c r="D14" s="14">
        <v>9</v>
      </c>
      <c r="E14" s="8" t="s">
        <v>908</v>
      </c>
    </row>
    <row r="15" spans="1:5" ht="15" x14ac:dyDescent="0.3">
      <c r="A15" s="14" t="s">
        <v>909</v>
      </c>
      <c r="B15" s="8" t="s">
        <v>807</v>
      </c>
      <c r="C15" s="14" t="s">
        <v>794</v>
      </c>
      <c r="D15" s="14">
        <v>11</v>
      </c>
      <c r="E15" s="8"/>
    </row>
    <row r="16" spans="1:5" ht="15" x14ac:dyDescent="0.3">
      <c r="A16" s="14" t="s">
        <v>910</v>
      </c>
      <c r="B16" s="8" t="s">
        <v>805</v>
      </c>
      <c r="C16" s="14" t="s">
        <v>794</v>
      </c>
      <c r="D16" s="14">
        <v>12</v>
      </c>
      <c r="E16" s="8"/>
    </row>
    <row r="17" spans="1:5" ht="15" x14ac:dyDescent="0.3">
      <c r="A17" s="14" t="s">
        <v>911</v>
      </c>
      <c r="B17" s="8" t="s">
        <v>912</v>
      </c>
      <c r="C17" s="14" t="s">
        <v>794</v>
      </c>
      <c r="D17" s="14">
        <v>7</v>
      </c>
      <c r="E17" s="8" t="s">
        <v>913</v>
      </c>
    </row>
    <row r="18" spans="1:5" ht="15" x14ac:dyDescent="0.3">
      <c r="A18" s="14" t="s">
        <v>914</v>
      </c>
      <c r="B18" s="8" t="s">
        <v>803</v>
      </c>
      <c r="C18" s="14" t="s">
        <v>794</v>
      </c>
      <c r="D18" s="14">
        <v>5</v>
      </c>
      <c r="E18" s="8" t="s">
        <v>915</v>
      </c>
    </row>
    <row r="19" spans="1:5" ht="15" x14ac:dyDescent="0.3">
      <c r="A19" s="14" t="s">
        <v>916</v>
      </c>
      <c r="B19" s="8" t="s">
        <v>458</v>
      </c>
      <c r="C19" s="14" t="s">
        <v>895</v>
      </c>
      <c r="D19" s="14">
        <v>8</v>
      </c>
      <c r="E19" s="8"/>
    </row>
    <row r="20" spans="1:5" ht="15" x14ac:dyDescent="0.3">
      <c r="A20" s="14" t="s">
        <v>917</v>
      </c>
      <c r="B20" s="8" t="s">
        <v>789</v>
      </c>
      <c r="C20" s="14" t="s">
        <v>902</v>
      </c>
      <c r="D20" s="14">
        <v>6</v>
      </c>
      <c r="E20" s="8"/>
    </row>
    <row r="21" spans="1:5" ht="15" x14ac:dyDescent="0.3">
      <c r="A21" s="14" t="s">
        <v>918</v>
      </c>
      <c r="B21" s="8" t="s">
        <v>919</v>
      </c>
      <c r="C21" s="14" t="s">
        <v>895</v>
      </c>
      <c r="D21" s="14">
        <v>4</v>
      </c>
      <c r="E21" s="8"/>
    </row>
    <row r="22" spans="1:5" ht="15" x14ac:dyDescent="0.3">
      <c r="A22" s="14" t="s">
        <v>920</v>
      </c>
      <c r="B22" s="8" t="s">
        <v>508</v>
      </c>
      <c r="C22" s="14" t="s">
        <v>893</v>
      </c>
      <c r="D22" s="14">
        <v>3</v>
      </c>
      <c r="E22" s="8" t="s">
        <v>921</v>
      </c>
    </row>
    <row r="23" spans="1:5" ht="15" x14ac:dyDescent="0.3">
      <c r="A23" s="14" t="s">
        <v>922</v>
      </c>
      <c r="B23" s="8" t="s">
        <v>430</v>
      </c>
      <c r="C23" s="14" t="s">
        <v>893</v>
      </c>
      <c r="D23" s="14">
        <v>3</v>
      </c>
      <c r="E23" s="8"/>
    </row>
    <row r="24" spans="1:5" ht="15" x14ac:dyDescent="0.3">
      <c r="A24" s="14" t="s">
        <v>923</v>
      </c>
      <c r="B24" s="8" t="s">
        <v>924</v>
      </c>
      <c r="C24" s="14" t="s">
        <v>925</v>
      </c>
      <c r="D24" s="14">
        <v>3</v>
      </c>
      <c r="E24" s="8"/>
    </row>
    <row r="25" spans="1:5" ht="15" x14ac:dyDescent="0.3">
      <c r="A25" s="14" t="s">
        <v>926</v>
      </c>
      <c r="B25" s="8" t="s">
        <v>927</v>
      </c>
      <c r="C25" s="14" t="s">
        <v>925</v>
      </c>
      <c r="D25" s="14">
        <v>2</v>
      </c>
      <c r="E25" s="8"/>
    </row>
    <row r="26" spans="1:5" ht="15" x14ac:dyDescent="0.3">
      <c r="A26" s="14" t="s">
        <v>928</v>
      </c>
      <c r="B26" s="8" t="s">
        <v>929</v>
      </c>
      <c r="C26" s="14" t="s">
        <v>902</v>
      </c>
      <c r="D26" s="14">
        <v>2</v>
      </c>
      <c r="E26" s="8"/>
    </row>
  </sheetData>
  <mergeCells count="1">
    <mergeCell ref="A1:E1"/>
  </mergeCells>
  <conditionalFormatting sqref="C5:C1000">
    <cfRule type="expression" dxfId="38" priority="1">
      <formula>$C5="Moq"</formula>
    </cfRule>
    <cfRule type="expression" dxfId="37" priority="2">
      <formula>$C5="Database finto"</formula>
    </cfRule>
    <cfRule type="expression" dxfId="36" priority="3">
      <formula>$C5="Puro"</formula>
    </cfRule>
    <cfRule type="expression" dxfId="35" priority="4">
      <formula>$C5="Puro (senza dipendenze)"</formula>
    </cfRule>
    <cfRule type="expression" dxfId="34" priority="5">
      <formula>$C5="Validatore"</formula>
    </cfRule>
    <cfRule type="expression" dxfId="33" priority="6">
      <formula>$C5="AutoMapper vero"</formula>
    </cfRule>
    <cfRule type="expression" dxfId="32" priority="7">
      <formula>$C5="Database finto + Moq"</formula>
    </cfRule>
  </conditionalFormatting>
  <hyperlinks>
    <hyperlink ref="E2" location="'Dashboard'!A1" display="← Torna alla Dashboard" xr:uid="{00000000-0004-0000-0900-000000000000}"/>
  </hyperlinks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2E5FAD"/>
  </sheetPr>
  <dimension ref="A1:C29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6" customWidth="1"/>
    <col min="2" max="2" width="30" customWidth="1"/>
    <col min="3" max="3" width="90" customWidth="1"/>
  </cols>
  <sheetData>
    <row r="1" spans="1:3" ht="34.049999999999997" customHeight="1" x14ac:dyDescent="0.3">
      <c r="A1" s="28" t="s">
        <v>930</v>
      </c>
      <c r="B1" s="29"/>
      <c r="C1" s="29"/>
    </row>
    <row r="2" spans="1:3" ht="19.95" customHeight="1" x14ac:dyDescent="0.35">
      <c r="A2" s="1" t="s">
        <v>931</v>
      </c>
      <c r="C2" s="12" t="s">
        <v>145</v>
      </c>
    </row>
    <row r="4" spans="1:3" ht="24" customHeight="1" x14ac:dyDescent="0.3">
      <c r="A4" s="13" t="s">
        <v>932</v>
      </c>
      <c r="B4" s="13" t="s">
        <v>933</v>
      </c>
      <c r="C4" s="13" t="s">
        <v>934</v>
      </c>
    </row>
    <row r="5" spans="1:3" ht="15" x14ac:dyDescent="0.3">
      <c r="A5" s="14" t="s">
        <v>935</v>
      </c>
      <c r="B5" s="14" t="s">
        <v>936</v>
      </c>
      <c r="C5" s="8" t="s">
        <v>937</v>
      </c>
    </row>
    <row r="6" spans="1:3" ht="15" x14ac:dyDescent="0.3">
      <c r="A6" s="14" t="s">
        <v>935</v>
      </c>
      <c r="B6" s="14" t="s">
        <v>938</v>
      </c>
      <c r="C6" s="8" t="s">
        <v>939</v>
      </c>
    </row>
    <row r="7" spans="1:3" ht="15" x14ac:dyDescent="0.3">
      <c r="A7" s="14" t="s">
        <v>935</v>
      </c>
      <c r="B7" s="14" t="s">
        <v>940</v>
      </c>
      <c r="C7" s="8" t="s">
        <v>941</v>
      </c>
    </row>
    <row r="8" spans="1:3" ht="15" x14ac:dyDescent="0.3">
      <c r="A8" s="14" t="s">
        <v>935</v>
      </c>
      <c r="B8" s="14" t="s">
        <v>942</v>
      </c>
      <c r="C8" s="8" t="s">
        <v>943</v>
      </c>
    </row>
    <row r="9" spans="1:3" ht="15" x14ac:dyDescent="0.3">
      <c r="A9" s="14" t="s">
        <v>935</v>
      </c>
      <c r="B9" s="14" t="s">
        <v>944</v>
      </c>
      <c r="C9" s="8" t="s">
        <v>945</v>
      </c>
    </row>
    <row r="10" spans="1:3" ht="15" x14ac:dyDescent="0.3">
      <c r="A10" s="14" t="s">
        <v>935</v>
      </c>
      <c r="B10" s="14" t="s">
        <v>946</v>
      </c>
      <c r="C10" s="8" t="s">
        <v>947</v>
      </c>
    </row>
    <row r="11" spans="1:3" ht="15" x14ac:dyDescent="0.3">
      <c r="A11" s="14" t="s">
        <v>238</v>
      </c>
      <c r="B11" s="14" t="s">
        <v>538</v>
      </c>
      <c r="C11" s="8" t="s">
        <v>948</v>
      </c>
    </row>
    <row r="12" spans="1:3" ht="15" x14ac:dyDescent="0.3">
      <c r="A12" s="14" t="s">
        <v>238</v>
      </c>
      <c r="B12" s="14" t="s">
        <v>949</v>
      </c>
      <c r="C12" s="8" t="s">
        <v>950</v>
      </c>
    </row>
    <row r="13" spans="1:3" ht="15" x14ac:dyDescent="0.3">
      <c r="A13" s="14" t="s">
        <v>238</v>
      </c>
      <c r="B13" s="14" t="s">
        <v>645</v>
      </c>
      <c r="C13" s="8" t="s">
        <v>951</v>
      </c>
    </row>
    <row r="14" spans="1:3" ht="15" x14ac:dyDescent="0.3">
      <c r="A14" s="14" t="s">
        <v>238</v>
      </c>
      <c r="B14" s="14" t="s">
        <v>952</v>
      </c>
      <c r="C14" s="8" t="s">
        <v>953</v>
      </c>
    </row>
    <row r="15" spans="1:3" ht="15" x14ac:dyDescent="0.3">
      <c r="A15" s="14" t="s">
        <v>238</v>
      </c>
      <c r="B15" s="14" t="s">
        <v>954</v>
      </c>
      <c r="C15" s="8" t="s">
        <v>955</v>
      </c>
    </row>
    <row r="16" spans="1:3" ht="15" x14ac:dyDescent="0.3">
      <c r="A16" s="14" t="s">
        <v>956</v>
      </c>
      <c r="B16" s="14" t="s">
        <v>957</v>
      </c>
      <c r="C16" s="8" t="s">
        <v>958</v>
      </c>
    </row>
    <row r="17" spans="1:3" ht="15" x14ac:dyDescent="0.3">
      <c r="A17" s="14" t="s">
        <v>956</v>
      </c>
      <c r="B17" s="14" t="s">
        <v>959</v>
      </c>
      <c r="C17" s="8" t="s">
        <v>960</v>
      </c>
    </row>
    <row r="18" spans="1:3" ht="15" x14ac:dyDescent="0.3">
      <c r="A18" s="14" t="s">
        <v>956</v>
      </c>
      <c r="B18" s="14" t="s">
        <v>961</v>
      </c>
      <c r="C18" s="8" t="s">
        <v>962</v>
      </c>
    </row>
    <row r="19" spans="1:3" ht="15" x14ac:dyDescent="0.3">
      <c r="A19" s="14" t="s">
        <v>956</v>
      </c>
      <c r="B19" s="14" t="s">
        <v>963</v>
      </c>
      <c r="C19" s="8" t="s">
        <v>964</v>
      </c>
    </row>
    <row r="20" spans="1:3" ht="15" x14ac:dyDescent="0.3">
      <c r="A20" s="14" t="s">
        <v>956</v>
      </c>
      <c r="B20" s="14" t="s">
        <v>965</v>
      </c>
      <c r="C20" s="8" t="s">
        <v>966</v>
      </c>
    </row>
    <row r="21" spans="1:3" ht="15" x14ac:dyDescent="0.3">
      <c r="A21" s="14" t="s">
        <v>956</v>
      </c>
      <c r="B21" s="14" t="s">
        <v>967</v>
      </c>
      <c r="C21" s="8" t="s">
        <v>968</v>
      </c>
    </row>
    <row r="22" spans="1:3" ht="15" x14ac:dyDescent="0.3">
      <c r="A22" s="14" t="s">
        <v>969</v>
      </c>
      <c r="B22" s="14" t="s">
        <v>970</v>
      </c>
      <c r="C22" s="8" t="s">
        <v>971</v>
      </c>
    </row>
    <row r="23" spans="1:3" ht="15" x14ac:dyDescent="0.3">
      <c r="A23" s="14" t="s">
        <v>341</v>
      </c>
      <c r="B23" s="14" t="s">
        <v>972</v>
      </c>
      <c r="C23" s="8" t="s">
        <v>342</v>
      </c>
    </row>
    <row r="24" spans="1:3" ht="15" x14ac:dyDescent="0.3">
      <c r="A24" s="14" t="s">
        <v>341</v>
      </c>
      <c r="B24" s="14" t="s">
        <v>973</v>
      </c>
      <c r="C24" s="8" t="s">
        <v>974</v>
      </c>
    </row>
    <row r="25" spans="1:3" ht="15" x14ac:dyDescent="0.3">
      <c r="A25" s="14" t="s">
        <v>975</v>
      </c>
      <c r="B25" s="14" t="s">
        <v>976</v>
      </c>
      <c r="C25" s="8" t="s">
        <v>977</v>
      </c>
    </row>
    <row r="26" spans="1:3" ht="15" x14ac:dyDescent="0.3">
      <c r="A26" s="14" t="s">
        <v>975</v>
      </c>
      <c r="B26" s="14" t="s">
        <v>978</v>
      </c>
      <c r="C26" s="8" t="s">
        <v>979</v>
      </c>
    </row>
    <row r="27" spans="1:3" ht="15" x14ac:dyDescent="0.3">
      <c r="A27" s="14" t="s">
        <v>975</v>
      </c>
      <c r="B27" s="14" t="s">
        <v>980</v>
      </c>
      <c r="C27" s="8" t="s">
        <v>981</v>
      </c>
    </row>
    <row r="28" spans="1:3" ht="15" x14ac:dyDescent="0.3">
      <c r="A28" s="14" t="s">
        <v>975</v>
      </c>
      <c r="B28" s="14" t="s">
        <v>982</v>
      </c>
      <c r="C28" s="8" t="s">
        <v>983</v>
      </c>
    </row>
    <row r="29" spans="1:3" ht="15" x14ac:dyDescent="0.3">
      <c r="A29" s="14" t="s">
        <v>975</v>
      </c>
      <c r="B29" s="14" t="s">
        <v>984</v>
      </c>
      <c r="C29" s="8" t="s">
        <v>985</v>
      </c>
    </row>
  </sheetData>
  <mergeCells count="1">
    <mergeCell ref="A1:C1"/>
  </mergeCells>
  <conditionalFormatting sqref="A5:A1000">
    <cfRule type="expression" dxfId="31" priority="1">
      <formula>$A5="JWT"</formula>
    </cfRule>
    <cfRule type="expression" dxfId="30" priority="2">
      <formula>$A5="Ruoli"</formula>
    </cfRule>
    <cfRule type="expression" dxfId="29" priority="3">
      <formula>$A5="Account"</formula>
    </cfRule>
    <cfRule type="expression" dxfId="28" priority="4">
      <formula>$A5="Sessione"</formula>
    </cfRule>
    <cfRule type="expression" dxfId="27" priority="5">
      <formula>$A5="Primo avvio"</formula>
    </cfRule>
    <cfRule type="expression" dxfId="26" priority="6">
      <formula>$A5="Protezioni"</formula>
    </cfRule>
  </conditionalFormatting>
  <hyperlinks>
    <hyperlink ref="C2" location="'Dashboard'!A1" display="← Torna alla Dashboard" xr:uid="{00000000-0004-0000-0A00-000000000000}"/>
  </hyperlinks>
  <pageMargins left="0.75" right="0.75" top="1" bottom="1" header="0.5" footer="0.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2E5FAD"/>
  </sheetPr>
  <dimension ref="A1:F6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6" customWidth="1"/>
    <col min="2" max="2" width="22" customWidth="1"/>
    <col min="3" max="3" width="16" customWidth="1"/>
    <col min="4" max="4" width="60" customWidth="1"/>
    <col min="5" max="5" width="36" customWidth="1"/>
    <col min="6" max="6" width="46" customWidth="1"/>
  </cols>
  <sheetData>
    <row r="1" spans="1:6" ht="34.049999999999997" customHeight="1" x14ac:dyDescent="0.3">
      <c r="A1" s="28" t="s">
        <v>986</v>
      </c>
      <c r="B1" s="29"/>
      <c r="C1" s="29"/>
      <c r="D1" s="29"/>
      <c r="E1" s="29"/>
      <c r="F1" s="29"/>
    </row>
    <row r="2" spans="1:6" ht="19.95" customHeight="1" x14ac:dyDescent="0.35">
      <c r="A2" s="1" t="s">
        <v>987</v>
      </c>
      <c r="F2" s="12" t="s">
        <v>145</v>
      </c>
    </row>
    <row r="4" spans="1:6" ht="24" customHeight="1" x14ac:dyDescent="0.3">
      <c r="A4" s="13" t="s">
        <v>988</v>
      </c>
      <c r="B4" s="13" t="s">
        <v>989</v>
      </c>
      <c r="C4" s="13" t="s">
        <v>990</v>
      </c>
      <c r="D4" s="13" t="s">
        <v>365</v>
      </c>
      <c r="E4" s="13" t="s">
        <v>991</v>
      </c>
      <c r="F4" s="13" t="s">
        <v>992</v>
      </c>
    </row>
    <row r="5" spans="1:6" ht="30" x14ac:dyDescent="0.3">
      <c r="A5" s="14" t="s">
        <v>700</v>
      </c>
      <c r="B5" s="14" t="s">
        <v>993</v>
      </c>
      <c r="C5" s="14" t="s">
        <v>994</v>
      </c>
      <c r="D5" s="8" t="s">
        <v>995</v>
      </c>
      <c r="E5" s="14" t="s">
        <v>698</v>
      </c>
      <c r="F5" s="14" t="s">
        <v>996</v>
      </c>
    </row>
    <row r="6" spans="1:6" ht="15" x14ac:dyDescent="0.3">
      <c r="A6" s="14" t="s">
        <v>703</v>
      </c>
      <c r="B6" s="14" t="s">
        <v>997</v>
      </c>
      <c r="C6" s="14" t="s">
        <v>998</v>
      </c>
      <c r="D6" s="8" t="s">
        <v>999</v>
      </c>
      <c r="E6" s="14" t="s">
        <v>701</v>
      </c>
      <c r="F6" s="14" t="s">
        <v>1000</v>
      </c>
    </row>
  </sheetData>
  <mergeCells count="1">
    <mergeCell ref="A1:F1"/>
  </mergeCells>
  <hyperlinks>
    <hyperlink ref="F2" location="'Dashboard'!A1" display="← Torna alla Dashboard" xr:uid="{00000000-0004-0000-0B00-000000000000}"/>
  </hyperlinks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2E5FAD"/>
  </sheetPr>
  <dimension ref="A1:G11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6" customWidth="1"/>
    <col min="2" max="2" width="58" customWidth="1"/>
    <col min="3" max="3" width="12" customWidth="1"/>
    <col min="4" max="4" width="62" customWidth="1"/>
    <col min="5" max="5" width="9" customWidth="1"/>
    <col min="6" max="6" width="12" customWidth="1"/>
    <col min="7" max="7" width="46" customWidth="1"/>
  </cols>
  <sheetData>
    <row r="1" spans="1:7" ht="34.049999999999997" customHeight="1" x14ac:dyDescent="0.3">
      <c r="A1" s="28" t="s">
        <v>1001</v>
      </c>
      <c r="B1" s="29"/>
      <c r="C1" s="29"/>
      <c r="D1" s="29"/>
      <c r="E1" s="29"/>
      <c r="F1" s="29"/>
      <c r="G1" s="29"/>
    </row>
    <row r="2" spans="1:7" ht="19.95" customHeight="1" x14ac:dyDescent="0.35">
      <c r="A2" s="1" t="s">
        <v>1002</v>
      </c>
      <c r="G2" s="12" t="s">
        <v>145</v>
      </c>
    </row>
    <row r="4" spans="1:7" ht="24" customHeight="1" x14ac:dyDescent="0.3">
      <c r="A4" s="13" t="s">
        <v>1003</v>
      </c>
      <c r="B4" s="13" t="s">
        <v>1004</v>
      </c>
      <c r="C4" s="13" t="s">
        <v>1005</v>
      </c>
      <c r="D4" s="13" t="s">
        <v>1006</v>
      </c>
      <c r="E4" s="13" t="s">
        <v>1007</v>
      </c>
      <c r="F4" s="13" t="s">
        <v>1008</v>
      </c>
      <c r="G4" s="13" t="s">
        <v>151</v>
      </c>
    </row>
    <row r="5" spans="1:7" ht="15" x14ac:dyDescent="0.3">
      <c r="A5" s="14">
        <v>1</v>
      </c>
      <c r="B5" s="14" t="s">
        <v>1009</v>
      </c>
      <c r="C5" s="17">
        <v>45981</v>
      </c>
      <c r="D5" s="8" t="s">
        <v>1010</v>
      </c>
      <c r="E5" s="14" t="s">
        <v>156</v>
      </c>
      <c r="F5" s="14" t="s">
        <v>156</v>
      </c>
      <c r="G5" s="8"/>
    </row>
    <row r="6" spans="1:7" ht="15" x14ac:dyDescent="0.3">
      <c r="A6" s="14">
        <v>2</v>
      </c>
      <c r="B6" s="14" t="s">
        <v>1011</v>
      </c>
      <c r="C6" s="17">
        <v>46092</v>
      </c>
      <c r="D6" s="8" t="s">
        <v>1012</v>
      </c>
      <c r="E6" s="14" t="s">
        <v>156</v>
      </c>
      <c r="F6" s="14" t="s">
        <v>156</v>
      </c>
      <c r="G6" s="8" t="s">
        <v>1013</v>
      </c>
    </row>
    <row r="7" spans="1:7" ht="15" x14ac:dyDescent="0.3">
      <c r="A7" s="14">
        <v>3</v>
      </c>
      <c r="B7" s="14" t="s">
        <v>1014</v>
      </c>
      <c r="C7" s="17">
        <v>46259</v>
      </c>
      <c r="D7" s="8" t="s">
        <v>1015</v>
      </c>
      <c r="E7" s="14" t="s">
        <v>156</v>
      </c>
      <c r="F7" s="14" t="s">
        <v>156</v>
      </c>
      <c r="G7" s="8"/>
    </row>
    <row r="8" spans="1:7" ht="15" x14ac:dyDescent="0.3">
      <c r="A8" s="14">
        <v>4</v>
      </c>
      <c r="B8" s="14" t="s">
        <v>1016</v>
      </c>
      <c r="C8" s="17">
        <v>46260</v>
      </c>
      <c r="D8" s="8" t="s">
        <v>1017</v>
      </c>
      <c r="E8" s="14" t="s">
        <v>156</v>
      </c>
      <c r="F8" s="14" t="s">
        <v>156</v>
      </c>
      <c r="G8" s="8" t="s">
        <v>1018</v>
      </c>
    </row>
    <row r="9" spans="1:7" ht="15" x14ac:dyDescent="0.3">
      <c r="A9" s="14">
        <v>5</v>
      </c>
      <c r="B9" s="14" t="s">
        <v>1019</v>
      </c>
      <c r="C9" s="17">
        <v>46265</v>
      </c>
      <c r="D9" s="8" t="s">
        <v>1020</v>
      </c>
      <c r="E9" s="14" t="s">
        <v>156</v>
      </c>
      <c r="F9" s="14" t="s">
        <v>156</v>
      </c>
      <c r="G9" s="8" t="s">
        <v>1021</v>
      </c>
    </row>
    <row r="10" spans="1:7" ht="15" x14ac:dyDescent="0.3">
      <c r="A10" s="14">
        <v>6</v>
      </c>
      <c r="B10" s="14" t="s">
        <v>1022</v>
      </c>
      <c r="C10" s="17">
        <v>46267</v>
      </c>
      <c r="D10" s="8" t="s">
        <v>1023</v>
      </c>
      <c r="E10" s="14" t="s">
        <v>156</v>
      </c>
      <c r="F10" s="14" t="s">
        <v>156</v>
      </c>
      <c r="G10" s="8" t="s">
        <v>1024</v>
      </c>
    </row>
    <row r="11" spans="1:7" ht="15" x14ac:dyDescent="0.3">
      <c r="A11" s="14">
        <v>7</v>
      </c>
      <c r="B11" s="14" t="s">
        <v>1025</v>
      </c>
      <c r="C11" s="17">
        <v>46269</v>
      </c>
      <c r="D11" s="8" t="s">
        <v>1026</v>
      </c>
      <c r="E11" s="14" t="s">
        <v>156</v>
      </c>
      <c r="F11" s="14" t="s">
        <v>156</v>
      </c>
      <c r="G11" s="8"/>
    </row>
  </sheetData>
  <mergeCells count="1">
    <mergeCell ref="A1:G1"/>
  </mergeCells>
  <conditionalFormatting sqref="E5:E1000">
    <cfRule type="expression" dxfId="25" priority="1">
      <formula>$E5="Sì"</formula>
    </cfRule>
    <cfRule type="expression" dxfId="24" priority="2">
      <formula>$E5="No"</formula>
    </cfRule>
  </conditionalFormatting>
  <conditionalFormatting sqref="F5:F1000">
    <cfRule type="expression" dxfId="23" priority="3">
      <formula>$F5="Sì"</formula>
    </cfRule>
    <cfRule type="expression" dxfId="22" priority="4">
      <formula>$F5="No"</formula>
    </cfRule>
  </conditionalFormatting>
  <dataValidations count="1">
    <dataValidation type="list" allowBlank="1" showErrorMessage="1" errorTitle="Valore non previsto" error="Scegli un valore dall'elenco." sqref="E5:F1000" xr:uid="{00000000-0002-0000-0C00-000000000000}">
      <formula1>"Sì,No"</formula1>
    </dataValidation>
  </dataValidations>
  <hyperlinks>
    <hyperlink ref="G2" location="'Dashboard'!A1" display="← Torna alla Dashboard" xr:uid="{00000000-0004-0000-0C00-000000000000}"/>
  </hyperlinks>
  <pageMargins left="0.75" right="0.75" top="1" bottom="1" header="0.5" footer="0.5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2E7D32"/>
  </sheetPr>
  <dimension ref="A1:D16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8" customWidth="1"/>
    <col min="2" max="2" width="22" customWidth="1"/>
    <col min="3" max="3" width="40" customWidth="1"/>
    <col min="4" max="4" width="60" customWidth="1"/>
  </cols>
  <sheetData>
    <row r="1" spans="1:4" ht="34.049999999999997" customHeight="1" x14ac:dyDescent="0.3">
      <c r="A1" s="30" t="s">
        <v>1027</v>
      </c>
      <c r="B1" s="31"/>
      <c r="C1" s="31"/>
      <c r="D1" s="31"/>
    </row>
    <row r="2" spans="1:4" ht="19.95" customHeight="1" x14ac:dyDescent="0.35">
      <c r="A2" s="1" t="s">
        <v>1028</v>
      </c>
      <c r="D2" s="12" t="s">
        <v>145</v>
      </c>
    </row>
    <row r="4" spans="1:4" ht="24" customHeight="1" x14ac:dyDescent="0.3">
      <c r="A4" s="13" t="s">
        <v>56</v>
      </c>
      <c r="B4" s="13" t="s">
        <v>1029</v>
      </c>
      <c r="C4" s="13" t="s">
        <v>1030</v>
      </c>
      <c r="D4" s="13" t="s">
        <v>365</v>
      </c>
    </row>
    <row r="5" spans="1:4" ht="15" x14ac:dyDescent="0.3">
      <c r="A5" s="14" t="s">
        <v>1031</v>
      </c>
      <c r="B5" s="14" t="s">
        <v>1032</v>
      </c>
      <c r="C5" s="8" t="s">
        <v>1033</v>
      </c>
      <c r="D5" s="8" t="s">
        <v>1034</v>
      </c>
    </row>
    <row r="6" spans="1:4" ht="15" x14ac:dyDescent="0.3">
      <c r="A6" s="14" t="s">
        <v>1035</v>
      </c>
      <c r="B6" s="14" t="s">
        <v>1036</v>
      </c>
      <c r="C6" s="8" t="s">
        <v>1037</v>
      </c>
      <c r="D6" s="8" t="s">
        <v>1038</v>
      </c>
    </row>
    <row r="7" spans="1:4" ht="15" x14ac:dyDescent="0.3">
      <c r="A7" s="14" t="s">
        <v>1039</v>
      </c>
      <c r="B7" s="14" t="s">
        <v>1040</v>
      </c>
      <c r="C7" s="8" t="s">
        <v>1041</v>
      </c>
      <c r="D7" s="8" t="s">
        <v>1042</v>
      </c>
    </row>
    <row r="8" spans="1:4" ht="15" x14ac:dyDescent="0.3">
      <c r="A8" s="14" t="s">
        <v>1043</v>
      </c>
      <c r="B8" s="14" t="s">
        <v>1044</v>
      </c>
      <c r="C8" s="8" t="s">
        <v>1041</v>
      </c>
      <c r="D8" s="8" t="s">
        <v>1045</v>
      </c>
    </row>
    <row r="9" spans="1:4" ht="15" x14ac:dyDescent="0.3">
      <c r="A9" s="14" t="s">
        <v>1046</v>
      </c>
      <c r="B9" s="14" t="s">
        <v>1047</v>
      </c>
      <c r="C9" s="8" t="s">
        <v>567</v>
      </c>
      <c r="D9" s="8" t="s">
        <v>1048</v>
      </c>
    </row>
    <row r="10" spans="1:4" ht="15" x14ac:dyDescent="0.3">
      <c r="A10" s="14" t="s">
        <v>1049</v>
      </c>
      <c r="B10" s="14" t="s">
        <v>1050</v>
      </c>
      <c r="C10" s="8" t="s">
        <v>567</v>
      </c>
      <c r="D10" s="8" t="s">
        <v>1051</v>
      </c>
    </row>
    <row r="11" spans="1:4" ht="15" x14ac:dyDescent="0.3">
      <c r="A11" s="14" t="s">
        <v>1052</v>
      </c>
      <c r="B11" s="14" t="s">
        <v>1053</v>
      </c>
      <c r="C11" s="8" t="s">
        <v>567</v>
      </c>
      <c r="D11" s="8" t="s">
        <v>1054</v>
      </c>
    </row>
    <row r="12" spans="1:4" ht="15" x14ac:dyDescent="0.3">
      <c r="A12" s="14" t="s">
        <v>1055</v>
      </c>
      <c r="B12" s="14" t="s">
        <v>1056</v>
      </c>
      <c r="C12" s="8" t="s">
        <v>567</v>
      </c>
      <c r="D12" s="8" t="s">
        <v>1057</v>
      </c>
    </row>
    <row r="13" spans="1:4" ht="15" x14ac:dyDescent="0.3">
      <c r="A13" s="14" t="s">
        <v>1058</v>
      </c>
      <c r="B13" s="14" t="s">
        <v>1059</v>
      </c>
      <c r="C13" s="8" t="s">
        <v>569</v>
      </c>
      <c r="D13" s="8" t="s">
        <v>1060</v>
      </c>
    </row>
    <row r="14" spans="1:4" ht="15" x14ac:dyDescent="0.3">
      <c r="A14" s="14" t="s">
        <v>1061</v>
      </c>
      <c r="B14" s="14" t="s">
        <v>1062</v>
      </c>
      <c r="C14" s="8" t="s">
        <v>538</v>
      </c>
      <c r="D14" s="8" t="s">
        <v>1063</v>
      </c>
    </row>
    <row r="15" spans="1:4" ht="15" x14ac:dyDescent="0.3">
      <c r="A15" s="14" t="s">
        <v>1064</v>
      </c>
      <c r="B15" s="14" t="s">
        <v>1065</v>
      </c>
      <c r="C15" s="8" t="s">
        <v>1041</v>
      </c>
      <c r="D15" s="8" t="s">
        <v>1066</v>
      </c>
    </row>
    <row r="16" spans="1:4" ht="15" x14ac:dyDescent="0.3">
      <c r="A16" s="14" t="s">
        <v>1067</v>
      </c>
      <c r="B16" s="14" t="s">
        <v>1068</v>
      </c>
      <c r="C16" s="8" t="s">
        <v>1041</v>
      </c>
      <c r="D16" s="8" t="s">
        <v>1069</v>
      </c>
    </row>
  </sheetData>
  <mergeCells count="1">
    <mergeCell ref="A1:D1"/>
  </mergeCells>
  <conditionalFormatting sqref="C5:C1000">
    <cfRule type="expression" dxfId="21" priority="1">
      <formula>$C5="Tutti"</formula>
    </cfRule>
    <cfRule type="expression" dxfId="20" priority="2">
      <formula>$C5="Admin"</formula>
    </cfRule>
  </conditionalFormatting>
  <hyperlinks>
    <hyperlink ref="D2" location="'Dashboard'!A1" display="← Torna alla Dashboard" xr:uid="{00000000-0004-0000-0D00-000000000000}"/>
  </hyperlinks>
  <pageMargins left="0.75" right="0.75" top="1" bottom="1" header="0.5" footer="0.5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2E7D32"/>
  </sheetPr>
  <dimension ref="A1:D32"/>
  <sheetViews>
    <sheetView showGridLines="0" workbookViewId="0">
      <pane xSplit="1" ySplit="4" topLeftCell="B5" activePane="bottomRight" state="frozen"/>
      <selection pane="topRight"/>
      <selection pane="bottomLeft"/>
      <selection pane="bottomRight" sqref="A1:D1"/>
    </sheetView>
  </sheetViews>
  <sheetFormatPr defaultRowHeight="14.4" x14ac:dyDescent="0.3"/>
  <cols>
    <col min="1" max="1" width="32" customWidth="1"/>
    <col min="2" max="2" width="13" customWidth="1"/>
    <col min="3" max="3" width="56" customWidth="1"/>
    <col min="4" max="4" width="30" customWidth="1"/>
  </cols>
  <sheetData>
    <row r="1" spans="1:4" ht="34.049999999999997" customHeight="1" x14ac:dyDescent="0.3">
      <c r="A1" s="30" t="s">
        <v>1070</v>
      </c>
      <c r="B1" s="31"/>
      <c r="C1" s="31"/>
      <c r="D1" s="31"/>
    </row>
    <row r="2" spans="1:4" ht="19.95" customHeight="1" x14ac:dyDescent="0.35">
      <c r="A2" s="1" t="s">
        <v>1071</v>
      </c>
      <c r="D2" s="12" t="s">
        <v>145</v>
      </c>
    </row>
    <row r="4" spans="1:4" ht="24" customHeight="1" x14ac:dyDescent="0.3">
      <c r="A4" s="13" t="s">
        <v>817</v>
      </c>
      <c r="B4" s="13" t="s">
        <v>149</v>
      </c>
      <c r="C4" s="13" t="s">
        <v>365</v>
      </c>
      <c r="D4" s="13" t="s">
        <v>1072</v>
      </c>
    </row>
    <row r="5" spans="1:4" ht="15" x14ac:dyDescent="0.3">
      <c r="A5" s="14" t="s">
        <v>1073</v>
      </c>
      <c r="B5" s="14" t="s">
        <v>1074</v>
      </c>
      <c r="C5" s="8" t="s">
        <v>1075</v>
      </c>
      <c r="D5" s="8" t="s">
        <v>1050</v>
      </c>
    </row>
    <row r="6" spans="1:4" ht="15" x14ac:dyDescent="0.3">
      <c r="A6" s="14" t="s">
        <v>1076</v>
      </c>
      <c r="B6" s="14" t="s">
        <v>1074</v>
      </c>
      <c r="C6" s="8" t="s">
        <v>1077</v>
      </c>
      <c r="D6" s="8" t="s">
        <v>1053</v>
      </c>
    </row>
    <row r="7" spans="1:4" ht="15" x14ac:dyDescent="0.3">
      <c r="A7" s="14" t="s">
        <v>1078</v>
      </c>
      <c r="B7" s="14" t="s">
        <v>1074</v>
      </c>
      <c r="C7" s="8" t="s">
        <v>1079</v>
      </c>
      <c r="D7" s="8" t="s">
        <v>1056</v>
      </c>
    </row>
    <row r="8" spans="1:4" ht="15" x14ac:dyDescent="0.3">
      <c r="A8" s="14" t="s">
        <v>1080</v>
      </c>
      <c r="B8" s="14" t="s">
        <v>1074</v>
      </c>
      <c r="C8" s="8" t="s">
        <v>1081</v>
      </c>
      <c r="D8" s="8" t="s">
        <v>1059</v>
      </c>
    </row>
    <row r="9" spans="1:4" ht="15" x14ac:dyDescent="0.3">
      <c r="A9" s="14" t="s">
        <v>1082</v>
      </c>
      <c r="B9" s="14" t="s">
        <v>1074</v>
      </c>
      <c r="C9" s="8" t="s">
        <v>1083</v>
      </c>
      <c r="D9" s="8" t="s">
        <v>1059</v>
      </c>
    </row>
    <row r="10" spans="1:4" ht="15" x14ac:dyDescent="0.3">
      <c r="A10" s="14" t="s">
        <v>1084</v>
      </c>
      <c r="B10" s="14" t="s">
        <v>1074</v>
      </c>
      <c r="C10" s="8" t="s">
        <v>1085</v>
      </c>
      <c r="D10" s="8" t="s">
        <v>1062</v>
      </c>
    </row>
    <row r="11" spans="1:4" ht="15" x14ac:dyDescent="0.3">
      <c r="A11" s="14" t="s">
        <v>1086</v>
      </c>
      <c r="B11" s="14" t="s">
        <v>1074</v>
      </c>
      <c r="C11" s="8" t="s">
        <v>547</v>
      </c>
      <c r="D11" s="8" t="s">
        <v>1062</v>
      </c>
    </row>
    <row r="12" spans="1:4" ht="15" x14ac:dyDescent="0.3">
      <c r="A12" s="14" t="s">
        <v>1087</v>
      </c>
      <c r="B12" s="14" t="s">
        <v>1074</v>
      </c>
      <c r="C12" s="8" t="s">
        <v>1088</v>
      </c>
      <c r="D12" s="8" t="s">
        <v>1062</v>
      </c>
    </row>
    <row r="13" spans="1:4" ht="15" x14ac:dyDescent="0.3">
      <c r="A13" s="14" t="s">
        <v>1089</v>
      </c>
      <c r="B13" s="14" t="s">
        <v>1074</v>
      </c>
      <c r="C13" s="8" t="s">
        <v>1090</v>
      </c>
      <c r="D13" s="8" t="s">
        <v>1062</v>
      </c>
    </row>
    <row r="14" spans="1:4" ht="15" x14ac:dyDescent="0.3">
      <c r="A14" s="14" t="s">
        <v>1091</v>
      </c>
      <c r="B14" s="14" t="s">
        <v>1074</v>
      </c>
      <c r="C14" s="8" t="s">
        <v>1092</v>
      </c>
      <c r="D14" s="8" t="s">
        <v>1093</v>
      </c>
    </row>
    <row r="15" spans="1:4" ht="15" x14ac:dyDescent="0.3">
      <c r="A15" s="14" t="s">
        <v>1094</v>
      </c>
      <c r="B15" s="14" t="s">
        <v>1095</v>
      </c>
      <c r="C15" s="8" t="s">
        <v>1096</v>
      </c>
      <c r="D15" s="8" t="s">
        <v>1097</v>
      </c>
    </row>
    <row r="16" spans="1:4" ht="15" x14ac:dyDescent="0.3">
      <c r="A16" s="14" t="s">
        <v>1098</v>
      </c>
      <c r="B16" s="14" t="s">
        <v>1099</v>
      </c>
      <c r="C16" s="8" t="s">
        <v>1100</v>
      </c>
      <c r="D16" s="8" t="s">
        <v>1093</v>
      </c>
    </row>
    <row r="17" spans="1:4" ht="15" x14ac:dyDescent="0.3">
      <c r="A17" s="14" t="s">
        <v>1101</v>
      </c>
      <c r="B17" s="14" t="s">
        <v>1099</v>
      </c>
      <c r="C17" s="8" t="s">
        <v>1102</v>
      </c>
      <c r="D17" s="8" t="s">
        <v>1103</v>
      </c>
    </row>
    <row r="18" spans="1:4" ht="15" x14ac:dyDescent="0.3">
      <c r="A18" s="14" t="s">
        <v>1104</v>
      </c>
      <c r="B18" s="14" t="s">
        <v>1099</v>
      </c>
      <c r="C18" s="8" t="s">
        <v>1105</v>
      </c>
      <c r="D18" s="8" t="s">
        <v>1059</v>
      </c>
    </row>
    <row r="19" spans="1:4" ht="15" x14ac:dyDescent="0.3">
      <c r="A19" s="14" t="s">
        <v>1106</v>
      </c>
      <c r="B19" s="14" t="s">
        <v>1099</v>
      </c>
      <c r="C19" s="8" t="s">
        <v>1107</v>
      </c>
      <c r="D19" s="8" t="s">
        <v>1108</v>
      </c>
    </row>
    <row r="20" spans="1:4" ht="15" x14ac:dyDescent="0.3">
      <c r="A20" s="14" t="s">
        <v>1109</v>
      </c>
      <c r="B20" s="14" t="s">
        <v>1099</v>
      </c>
      <c r="C20" s="8" t="s">
        <v>1110</v>
      </c>
      <c r="D20" s="8" t="s">
        <v>192</v>
      </c>
    </row>
    <row r="21" spans="1:4" ht="15" x14ac:dyDescent="0.3">
      <c r="A21" s="14" t="s">
        <v>1111</v>
      </c>
      <c r="B21" s="14" t="s">
        <v>1099</v>
      </c>
      <c r="C21" s="8" t="s">
        <v>1112</v>
      </c>
      <c r="D21" s="8" t="s">
        <v>1113</v>
      </c>
    </row>
    <row r="22" spans="1:4" ht="15" x14ac:dyDescent="0.3">
      <c r="A22" s="14" t="s">
        <v>1114</v>
      </c>
      <c r="B22" s="14" t="s">
        <v>1099</v>
      </c>
      <c r="C22" s="8" t="s">
        <v>1115</v>
      </c>
      <c r="D22" s="8" t="s">
        <v>192</v>
      </c>
    </row>
    <row r="23" spans="1:4" ht="15" x14ac:dyDescent="0.3">
      <c r="A23" s="14" t="s">
        <v>1116</v>
      </c>
      <c r="B23" s="14" t="s">
        <v>1099</v>
      </c>
      <c r="C23" s="8" t="s">
        <v>1117</v>
      </c>
      <c r="D23" s="8" t="s">
        <v>1093</v>
      </c>
    </row>
    <row r="24" spans="1:4" ht="15" x14ac:dyDescent="0.3">
      <c r="A24" s="14" t="s">
        <v>1118</v>
      </c>
      <c r="B24" s="14" t="s">
        <v>1099</v>
      </c>
      <c r="C24" s="8" t="s">
        <v>1119</v>
      </c>
      <c r="D24" s="8" t="s">
        <v>1093</v>
      </c>
    </row>
    <row r="25" spans="1:4" ht="15" x14ac:dyDescent="0.3">
      <c r="A25" s="14" t="s">
        <v>1120</v>
      </c>
      <c r="B25" s="14" t="s">
        <v>1099</v>
      </c>
      <c r="C25" s="8" t="s">
        <v>1121</v>
      </c>
      <c r="D25" s="8" t="s">
        <v>1122</v>
      </c>
    </row>
    <row r="26" spans="1:4" ht="15" x14ac:dyDescent="0.3">
      <c r="A26" s="14" t="s">
        <v>1123</v>
      </c>
      <c r="B26" s="14" t="s">
        <v>1099</v>
      </c>
      <c r="C26" s="8" t="s">
        <v>1124</v>
      </c>
      <c r="D26" s="8" t="s">
        <v>1125</v>
      </c>
    </row>
    <row r="27" spans="1:4" ht="15" x14ac:dyDescent="0.3">
      <c r="A27" s="14" t="s">
        <v>1126</v>
      </c>
      <c r="B27" s="14" t="s">
        <v>1099</v>
      </c>
      <c r="C27" s="8" t="s">
        <v>1127</v>
      </c>
      <c r="D27" s="8" t="s">
        <v>1125</v>
      </c>
    </row>
    <row r="28" spans="1:4" ht="15" x14ac:dyDescent="0.3">
      <c r="A28" s="14" t="s">
        <v>1128</v>
      </c>
      <c r="B28" s="14" t="s">
        <v>1099</v>
      </c>
      <c r="C28" s="8" t="s">
        <v>1129</v>
      </c>
      <c r="D28" s="8" t="s">
        <v>1130</v>
      </c>
    </row>
    <row r="29" spans="1:4" ht="15" x14ac:dyDescent="0.3">
      <c r="A29" s="14" t="s">
        <v>1131</v>
      </c>
      <c r="B29" s="14" t="s">
        <v>1099</v>
      </c>
      <c r="C29" s="8" t="s">
        <v>1132</v>
      </c>
      <c r="D29" s="8" t="s">
        <v>1133</v>
      </c>
    </row>
    <row r="30" spans="1:4" ht="15" x14ac:dyDescent="0.3">
      <c r="A30" s="14" t="s">
        <v>1134</v>
      </c>
      <c r="B30" s="14" t="s">
        <v>1099</v>
      </c>
      <c r="C30" s="8" t="s">
        <v>1135</v>
      </c>
      <c r="D30" s="8" t="s">
        <v>1125</v>
      </c>
    </row>
    <row r="31" spans="1:4" ht="15" x14ac:dyDescent="0.3">
      <c r="A31" s="14" t="s">
        <v>1136</v>
      </c>
      <c r="B31" s="14" t="s">
        <v>1099</v>
      </c>
      <c r="C31" s="8" t="s">
        <v>1137</v>
      </c>
      <c r="D31" s="8" t="s">
        <v>1032</v>
      </c>
    </row>
    <row r="32" spans="1:4" ht="15" x14ac:dyDescent="0.3">
      <c r="A32" s="14" t="s">
        <v>1138</v>
      </c>
      <c r="B32" s="14" t="s">
        <v>1139</v>
      </c>
      <c r="C32" s="8" t="s">
        <v>1140</v>
      </c>
      <c r="D32" s="8" t="s">
        <v>1141</v>
      </c>
    </row>
  </sheetData>
  <mergeCells count="1">
    <mergeCell ref="A1:D1"/>
  </mergeCells>
  <conditionalFormatting sqref="B5:B1000">
    <cfRule type="expression" dxfId="19" priority="1">
      <formula>$B5="Finestra"</formula>
    </cfRule>
    <cfRule type="expression" dxfId="18" priority="2">
      <formula>$B5="Condiviso"</formula>
    </cfRule>
    <cfRule type="expression" dxfId="17" priority="3">
      <formula>$B5="Struttura"</formula>
    </cfRule>
    <cfRule type="expression" dxfId="16" priority="4">
      <formula>$B5="UI base"</formula>
    </cfRule>
  </conditionalFormatting>
  <hyperlinks>
    <hyperlink ref="D2" location="'Dashboard'!A1" display="← Torna alla Dashboard" xr:uid="{00000000-0004-0000-0E00-000000000000}"/>
  </hyperlinks>
  <pageMargins left="0.75" right="0.75" top="1" bottom="1" header="0.5" footer="0.5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2E7D32"/>
  </sheetPr>
  <dimension ref="A1:F43"/>
  <sheetViews>
    <sheetView showGridLines="0" workbookViewId="0">
      <pane xSplit="1" ySplit="4" topLeftCell="B5" activePane="bottomRight" state="frozen"/>
      <selection pane="topRight"/>
      <selection pane="bottomLeft"/>
      <selection pane="bottomRight" sqref="A1:F1"/>
    </sheetView>
  </sheetViews>
  <sheetFormatPr defaultRowHeight="14.4" x14ac:dyDescent="0.3"/>
  <cols>
    <col min="1" max="1" width="28" customWidth="1"/>
    <col min="2" max="2" width="14" customWidth="1"/>
    <col min="3" max="3" width="9" customWidth="1"/>
    <col min="4" max="4" width="50" customWidth="1"/>
    <col min="5" max="5" width="42" customWidth="1"/>
    <col min="6" max="6" width="24" customWidth="1"/>
  </cols>
  <sheetData>
    <row r="1" spans="1:6" ht="34.049999999999997" customHeight="1" x14ac:dyDescent="0.3">
      <c r="A1" s="30" t="s">
        <v>1142</v>
      </c>
      <c r="B1" s="31"/>
      <c r="C1" s="31"/>
      <c r="D1" s="31"/>
      <c r="E1" s="31"/>
      <c r="F1" s="31"/>
    </row>
    <row r="2" spans="1:6" ht="19.95" customHeight="1" x14ac:dyDescent="0.35">
      <c r="A2" s="1" t="s">
        <v>1143</v>
      </c>
      <c r="F2" s="12" t="s">
        <v>145</v>
      </c>
    </row>
    <row r="4" spans="1:6" ht="24" customHeight="1" x14ac:dyDescent="0.3">
      <c r="A4" s="13" t="s">
        <v>1144</v>
      </c>
      <c r="B4" s="13" t="s">
        <v>256</v>
      </c>
      <c r="C4" s="13" t="s">
        <v>522</v>
      </c>
      <c r="D4" s="13" t="s">
        <v>1145</v>
      </c>
      <c r="E4" s="13" t="s">
        <v>365</v>
      </c>
      <c r="F4" s="13" t="s">
        <v>130</v>
      </c>
    </row>
    <row r="5" spans="1:6" ht="15" x14ac:dyDescent="0.3">
      <c r="A5" s="14" t="s">
        <v>1146</v>
      </c>
      <c r="B5" s="14" t="s">
        <v>153</v>
      </c>
      <c r="C5" s="14" t="s">
        <v>536</v>
      </c>
      <c r="D5" s="8" t="s">
        <v>1147</v>
      </c>
      <c r="E5" s="8" t="s">
        <v>380</v>
      </c>
      <c r="F5" s="14" t="s">
        <v>1148</v>
      </c>
    </row>
    <row r="6" spans="1:6" ht="15" x14ac:dyDescent="0.3">
      <c r="A6" s="14" t="s">
        <v>1149</v>
      </c>
      <c r="B6" s="14" t="s">
        <v>153</v>
      </c>
      <c r="C6" s="14" t="s">
        <v>536</v>
      </c>
      <c r="D6" s="8" t="s">
        <v>1150</v>
      </c>
      <c r="E6" s="8" t="s">
        <v>1151</v>
      </c>
      <c r="F6" s="14" t="s">
        <v>1148</v>
      </c>
    </row>
    <row r="7" spans="1:6" ht="15" x14ac:dyDescent="0.3">
      <c r="A7" s="14" t="s">
        <v>1152</v>
      </c>
      <c r="B7" s="14" t="s">
        <v>153</v>
      </c>
      <c r="C7" s="14" t="s">
        <v>527</v>
      </c>
      <c r="D7" s="8" t="s">
        <v>1153</v>
      </c>
      <c r="E7" s="8" t="s">
        <v>577</v>
      </c>
      <c r="F7" s="14" t="s">
        <v>1148</v>
      </c>
    </row>
    <row r="8" spans="1:6" ht="15" x14ac:dyDescent="0.3">
      <c r="A8" s="14" t="s">
        <v>1154</v>
      </c>
      <c r="B8" s="14" t="s">
        <v>153</v>
      </c>
      <c r="C8" s="14" t="s">
        <v>544</v>
      </c>
      <c r="D8" s="8" t="s">
        <v>1155</v>
      </c>
      <c r="E8" s="8" t="s">
        <v>580</v>
      </c>
      <c r="F8" s="14" t="s">
        <v>1148</v>
      </c>
    </row>
    <row r="9" spans="1:6" ht="15" x14ac:dyDescent="0.3">
      <c r="A9" s="14" t="s">
        <v>1156</v>
      </c>
      <c r="B9" s="14" t="s">
        <v>153</v>
      </c>
      <c r="C9" s="14" t="s">
        <v>548</v>
      </c>
      <c r="D9" s="8" t="s">
        <v>1157</v>
      </c>
      <c r="E9" s="8" t="s">
        <v>1158</v>
      </c>
      <c r="F9" s="14" t="s">
        <v>1148</v>
      </c>
    </row>
    <row r="10" spans="1:6" ht="15" x14ac:dyDescent="0.3">
      <c r="A10" s="14" t="s">
        <v>1159</v>
      </c>
      <c r="B10" s="14" t="s">
        <v>263</v>
      </c>
      <c r="C10" s="14" t="s">
        <v>536</v>
      </c>
      <c r="D10" s="8" t="s">
        <v>1160</v>
      </c>
      <c r="E10" s="8" t="s">
        <v>397</v>
      </c>
      <c r="F10" s="14" t="s">
        <v>1161</v>
      </c>
    </row>
    <row r="11" spans="1:6" ht="15" x14ac:dyDescent="0.3">
      <c r="A11" s="14" t="s">
        <v>1162</v>
      </c>
      <c r="B11" s="14" t="s">
        <v>263</v>
      </c>
      <c r="C11" s="14" t="s">
        <v>536</v>
      </c>
      <c r="D11" s="8" t="s">
        <v>1163</v>
      </c>
      <c r="E11" s="8" t="s">
        <v>1164</v>
      </c>
      <c r="F11" s="14" t="s">
        <v>1161</v>
      </c>
    </row>
    <row r="12" spans="1:6" ht="15" x14ac:dyDescent="0.3">
      <c r="A12" s="14" t="s">
        <v>1165</v>
      </c>
      <c r="B12" s="14" t="s">
        <v>263</v>
      </c>
      <c r="C12" s="14" t="s">
        <v>527</v>
      </c>
      <c r="D12" s="8" t="s">
        <v>1166</v>
      </c>
      <c r="E12" s="8" t="s">
        <v>599</v>
      </c>
      <c r="F12" s="14" t="s">
        <v>1161</v>
      </c>
    </row>
    <row r="13" spans="1:6" ht="15" x14ac:dyDescent="0.3">
      <c r="A13" s="14" t="s">
        <v>1167</v>
      </c>
      <c r="B13" s="14" t="s">
        <v>263</v>
      </c>
      <c r="C13" s="14" t="s">
        <v>544</v>
      </c>
      <c r="D13" s="8" t="s">
        <v>1168</v>
      </c>
      <c r="E13" s="8" t="s">
        <v>602</v>
      </c>
      <c r="F13" s="14" t="s">
        <v>1161</v>
      </c>
    </row>
    <row r="14" spans="1:6" ht="15" x14ac:dyDescent="0.3">
      <c r="A14" s="14" t="s">
        <v>1169</v>
      </c>
      <c r="B14" s="14" t="s">
        <v>263</v>
      </c>
      <c r="C14" s="14" t="s">
        <v>548</v>
      </c>
      <c r="D14" s="8" t="s">
        <v>1170</v>
      </c>
      <c r="E14" s="8" t="s">
        <v>406</v>
      </c>
      <c r="F14" s="14" t="s">
        <v>1161</v>
      </c>
    </row>
    <row r="15" spans="1:6" ht="15" x14ac:dyDescent="0.3">
      <c r="A15" s="14" t="s">
        <v>1171</v>
      </c>
      <c r="B15" s="14" t="s">
        <v>281</v>
      </c>
      <c r="C15" s="14" t="s">
        <v>536</v>
      </c>
      <c r="D15" s="8" t="s">
        <v>1172</v>
      </c>
      <c r="E15" s="8" t="s">
        <v>1173</v>
      </c>
      <c r="F15" s="14" t="s">
        <v>1174</v>
      </c>
    </row>
    <row r="16" spans="1:6" ht="15" x14ac:dyDescent="0.3">
      <c r="A16" s="14" t="s">
        <v>1175</v>
      </c>
      <c r="B16" s="14" t="s">
        <v>281</v>
      </c>
      <c r="C16" s="14" t="s">
        <v>536</v>
      </c>
      <c r="D16" s="8" t="s">
        <v>1176</v>
      </c>
      <c r="E16" s="8" t="s">
        <v>414</v>
      </c>
      <c r="F16" s="14" t="s">
        <v>1174</v>
      </c>
    </row>
    <row r="17" spans="1:6" ht="15" x14ac:dyDescent="0.3">
      <c r="A17" s="14" t="s">
        <v>1177</v>
      </c>
      <c r="B17" s="14" t="s">
        <v>281</v>
      </c>
      <c r="C17" s="14" t="s">
        <v>536</v>
      </c>
      <c r="D17" s="8" t="s">
        <v>1178</v>
      </c>
      <c r="E17" s="8" t="s">
        <v>449</v>
      </c>
      <c r="F17" s="14" t="s">
        <v>1174</v>
      </c>
    </row>
    <row r="18" spans="1:6" ht="15" x14ac:dyDescent="0.3">
      <c r="A18" s="14" t="s">
        <v>1179</v>
      </c>
      <c r="B18" s="14" t="s">
        <v>281</v>
      </c>
      <c r="C18" s="14" t="s">
        <v>527</v>
      </c>
      <c r="D18" s="8" t="s">
        <v>1180</v>
      </c>
      <c r="E18" s="8" t="s">
        <v>620</v>
      </c>
      <c r="F18" s="14" t="s">
        <v>1174</v>
      </c>
    </row>
    <row r="19" spans="1:6" ht="15" x14ac:dyDescent="0.3">
      <c r="A19" s="14" t="s">
        <v>1181</v>
      </c>
      <c r="B19" s="14" t="s">
        <v>281</v>
      </c>
      <c r="C19" s="14" t="s">
        <v>544</v>
      </c>
      <c r="D19" s="8" t="s">
        <v>1182</v>
      </c>
      <c r="E19" s="8" t="s">
        <v>623</v>
      </c>
      <c r="F19" s="14" t="s">
        <v>1174</v>
      </c>
    </row>
    <row r="20" spans="1:6" ht="15" x14ac:dyDescent="0.3">
      <c r="A20" s="14" t="s">
        <v>1183</v>
      </c>
      <c r="B20" s="14" t="s">
        <v>281</v>
      </c>
      <c r="C20" s="14" t="s">
        <v>548</v>
      </c>
      <c r="D20" s="8" t="s">
        <v>1184</v>
      </c>
      <c r="E20" s="8" t="s">
        <v>429</v>
      </c>
      <c r="F20" s="14" t="s">
        <v>1174</v>
      </c>
    </row>
    <row r="21" spans="1:6" ht="30" x14ac:dyDescent="0.3">
      <c r="A21" s="14" t="s">
        <v>1185</v>
      </c>
      <c r="B21" s="14" t="s">
        <v>192</v>
      </c>
      <c r="C21" s="14" t="s">
        <v>536</v>
      </c>
      <c r="D21" s="8" t="s">
        <v>1186</v>
      </c>
      <c r="E21" s="8" t="s">
        <v>1187</v>
      </c>
      <c r="F21" s="14" t="s">
        <v>1188</v>
      </c>
    </row>
    <row r="22" spans="1:6" ht="15" x14ac:dyDescent="0.3">
      <c r="A22" s="14" t="s">
        <v>1189</v>
      </c>
      <c r="B22" s="14" t="s">
        <v>192</v>
      </c>
      <c r="C22" s="14" t="s">
        <v>527</v>
      </c>
      <c r="D22" s="8" t="s">
        <v>1190</v>
      </c>
      <c r="E22" s="8" t="s">
        <v>1191</v>
      </c>
      <c r="F22" s="14" t="s">
        <v>1188</v>
      </c>
    </row>
    <row r="23" spans="1:6" ht="15" x14ac:dyDescent="0.3">
      <c r="A23" s="14" t="s">
        <v>1192</v>
      </c>
      <c r="B23" s="14" t="s">
        <v>192</v>
      </c>
      <c r="C23" s="14" t="s">
        <v>544</v>
      </c>
      <c r="D23" s="8" t="s">
        <v>1193</v>
      </c>
      <c r="E23" s="8" t="s">
        <v>650</v>
      </c>
      <c r="F23" s="14" t="s">
        <v>1188</v>
      </c>
    </row>
    <row r="24" spans="1:6" ht="15" x14ac:dyDescent="0.3">
      <c r="A24" s="14" t="s">
        <v>1194</v>
      </c>
      <c r="B24" s="14" t="s">
        <v>192</v>
      </c>
      <c r="C24" s="14" t="s">
        <v>581</v>
      </c>
      <c r="D24" s="8" t="s">
        <v>1195</v>
      </c>
      <c r="E24" s="8" t="s">
        <v>1196</v>
      </c>
      <c r="F24" s="14" t="s">
        <v>1188</v>
      </c>
    </row>
    <row r="25" spans="1:6" ht="15" x14ac:dyDescent="0.3">
      <c r="A25" s="14" t="s">
        <v>1197</v>
      </c>
      <c r="B25" s="14" t="s">
        <v>192</v>
      </c>
      <c r="C25" s="14" t="s">
        <v>581</v>
      </c>
      <c r="D25" s="8" t="s">
        <v>1198</v>
      </c>
      <c r="E25" s="8" t="s">
        <v>1199</v>
      </c>
      <c r="F25" s="14" t="s">
        <v>1188</v>
      </c>
    </row>
    <row r="26" spans="1:6" ht="15" x14ac:dyDescent="0.3">
      <c r="A26" s="14" t="s">
        <v>1200</v>
      </c>
      <c r="B26" s="14" t="s">
        <v>192</v>
      </c>
      <c r="C26" s="14" t="s">
        <v>581</v>
      </c>
      <c r="D26" s="8" t="s">
        <v>1201</v>
      </c>
      <c r="E26" s="8" t="s">
        <v>1202</v>
      </c>
      <c r="F26" s="14" t="s">
        <v>1188</v>
      </c>
    </row>
    <row r="27" spans="1:6" ht="15" x14ac:dyDescent="0.3">
      <c r="A27" s="14" t="s">
        <v>1203</v>
      </c>
      <c r="B27" s="14" t="s">
        <v>192</v>
      </c>
      <c r="C27" s="14" t="s">
        <v>548</v>
      </c>
      <c r="D27" s="8" t="s">
        <v>1204</v>
      </c>
      <c r="E27" s="8" t="s">
        <v>1205</v>
      </c>
      <c r="F27" s="14" t="s">
        <v>1188</v>
      </c>
    </row>
    <row r="28" spans="1:6" ht="15" x14ac:dyDescent="0.3">
      <c r="A28" s="14" t="s">
        <v>1206</v>
      </c>
      <c r="B28" s="14" t="s">
        <v>300</v>
      </c>
      <c r="C28" s="14" t="s">
        <v>527</v>
      </c>
      <c r="D28" s="8" t="s">
        <v>1207</v>
      </c>
      <c r="E28" s="8" t="s">
        <v>1208</v>
      </c>
      <c r="F28" s="14" t="s">
        <v>1209</v>
      </c>
    </row>
    <row r="29" spans="1:6" ht="15" x14ac:dyDescent="0.3">
      <c r="A29" s="14" t="s">
        <v>1210</v>
      </c>
      <c r="B29" s="14" t="s">
        <v>313</v>
      </c>
      <c r="C29" s="14" t="s">
        <v>536</v>
      </c>
      <c r="D29" s="8" t="s">
        <v>1211</v>
      </c>
      <c r="E29" s="8" t="s">
        <v>665</v>
      </c>
      <c r="F29" s="14" t="s">
        <v>1212</v>
      </c>
    </row>
    <row r="30" spans="1:6" ht="15" x14ac:dyDescent="0.3">
      <c r="A30" s="14" t="s">
        <v>1213</v>
      </c>
      <c r="B30" s="14" t="s">
        <v>313</v>
      </c>
      <c r="C30" s="14" t="s">
        <v>536</v>
      </c>
      <c r="D30" s="8" t="s">
        <v>1214</v>
      </c>
      <c r="E30" s="8" t="s">
        <v>668</v>
      </c>
      <c r="F30" s="14" t="s">
        <v>1212</v>
      </c>
    </row>
    <row r="31" spans="1:6" ht="15" x14ac:dyDescent="0.3">
      <c r="A31" s="14" t="s">
        <v>1215</v>
      </c>
      <c r="B31" s="14" t="s">
        <v>232</v>
      </c>
      <c r="C31" s="14" t="s">
        <v>536</v>
      </c>
      <c r="D31" s="8" t="s">
        <v>1216</v>
      </c>
      <c r="E31" s="8" t="s">
        <v>1217</v>
      </c>
      <c r="F31" s="14" t="s">
        <v>1218</v>
      </c>
    </row>
    <row r="32" spans="1:6" ht="15" x14ac:dyDescent="0.3">
      <c r="A32" s="14" t="s">
        <v>1219</v>
      </c>
      <c r="B32" s="14" t="s">
        <v>232</v>
      </c>
      <c r="C32" s="14" t="s">
        <v>527</v>
      </c>
      <c r="D32" s="8" t="s">
        <v>1220</v>
      </c>
      <c r="E32" s="8" t="s">
        <v>1221</v>
      </c>
      <c r="F32" s="14" t="s">
        <v>1218</v>
      </c>
    </row>
    <row r="33" spans="1:6" ht="15" x14ac:dyDescent="0.3">
      <c r="A33" s="14" t="s">
        <v>1222</v>
      </c>
      <c r="B33" s="14" t="s">
        <v>232</v>
      </c>
      <c r="C33" s="14" t="s">
        <v>544</v>
      </c>
      <c r="D33" s="8" t="s">
        <v>1223</v>
      </c>
      <c r="E33" s="8" t="s">
        <v>1224</v>
      </c>
      <c r="F33" s="14" t="s">
        <v>1218</v>
      </c>
    </row>
    <row r="34" spans="1:6" ht="15" x14ac:dyDescent="0.3">
      <c r="A34" s="14" t="s">
        <v>1225</v>
      </c>
      <c r="B34" s="14" t="s">
        <v>232</v>
      </c>
      <c r="C34" s="14" t="s">
        <v>548</v>
      </c>
      <c r="D34" s="8" t="s">
        <v>1226</v>
      </c>
      <c r="E34" s="8" t="s">
        <v>1227</v>
      </c>
      <c r="F34" s="14" t="s">
        <v>1218</v>
      </c>
    </row>
    <row r="35" spans="1:6" ht="15" x14ac:dyDescent="0.3">
      <c r="A35" s="14" t="s">
        <v>1228</v>
      </c>
      <c r="B35" s="14" t="s">
        <v>232</v>
      </c>
      <c r="C35" s="14" t="s">
        <v>527</v>
      </c>
      <c r="D35" s="8" t="s">
        <v>1229</v>
      </c>
      <c r="E35" s="8" t="s">
        <v>554</v>
      </c>
      <c r="F35" s="14" t="s">
        <v>1218</v>
      </c>
    </row>
    <row r="36" spans="1:6" ht="15" x14ac:dyDescent="0.3">
      <c r="A36" s="14" t="s">
        <v>1230</v>
      </c>
      <c r="B36" s="14" t="s">
        <v>232</v>
      </c>
      <c r="C36" s="14" t="s">
        <v>548</v>
      </c>
      <c r="D36" s="8" t="s">
        <v>1231</v>
      </c>
      <c r="E36" s="8" t="s">
        <v>1232</v>
      </c>
      <c r="F36" s="14" t="s">
        <v>1218</v>
      </c>
    </row>
    <row r="37" spans="1:6" ht="15" x14ac:dyDescent="0.3">
      <c r="A37" s="14" t="s">
        <v>1233</v>
      </c>
      <c r="B37" s="14" t="s">
        <v>232</v>
      </c>
      <c r="C37" s="14" t="s">
        <v>527</v>
      </c>
      <c r="D37" s="8" t="s">
        <v>1234</v>
      </c>
      <c r="E37" s="8" t="s">
        <v>1235</v>
      </c>
      <c r="F37" s="14" t="s">
        <v>1218</v>
      </c>
    </row>
    <row r="38" spans="1:6" ht="15" x14ac:dyDescent="0.3">
      <c r="A38" s="14" t="s">
        <v>1236</v>
      </c>
      <c r="B38" s="14" t="s">
        <v>341</v>
      </c>
      <c r="C38" s="14" t="s">
        <v>536</v>
      </c>
      <c r="D38" s="8" t="s">
        <v>1237</v>
      </c>
      <c r="E38" s="8" t="s">
        <v>1238</v>
      </c>
      <c r="F38" s="14" t="s">
        <v>1239</v>
      </c>
    </row>
    <row r="39" spans="1:6" ht="15" x14ac:dyDescent="0.3">
      <c r="A39" s="14" t="s">
        <v>1240</v>
      </c>
      <c r="B39" s="14" t="s">
        <v>341</v>
      </c>
      <c r="C39" s="14" t="s">
        <v>527</v>
      </c>
      <c r="D39" s="8" t="s">
        <v>1241</v>
      </c>
      <c r="E39" s="8" t="s">
        <v>1038</v>
      </c>
      <c r="F39" s="14" t="s">
        <v>1239</v>
      </c>
    </row>
    <row r="40" spans="1:6" ht="15" x14ac:dyDescent="0.3">
      <c r="A40" s="14" t="s">
        <v>1242</v>
      </c>
      <c r="B40" s="14" t="s">
        <v>1042</v>
      </c>
      <c r="C40" s="14" t="s">
        <v>527</v>
      </c>
      <c r="D40" s="8" t="s">
        <v>1243</v>
      </c>
      <c r="E40" s="8" t="s">
        <v>533</v>
      </c>
      <c r="F40" s="14" t="s">
        <v>1244</v>
      </c>
    </row>
    <row r="41" spans="1:6" ht="15" x14ac:dyDescent="0.3">
      <c r="A41" s="14" t="s">
        <v>1242</v>
      </c>
      <c r="B41" s="14" t="s">
        <v>1042</v>
      </c>
      <c r="C41" s="14" t="s">
        <v>527</v>
      </c>
      <c r="D41" s="8" t="s">
        <v>1245</v>
      </c>
      <c r="E41" s="8" t="s">
        <v>1246</v>
      </c>
      <c r="F41" s="14" t="s">
        <v>1244</v>
      </c>
    </row>
    <row r="42" spans="1:6" ht="15" x14ac:dyDescent="0.3">
      <c r="A42" s="14" t="s">
        <v>1247</v>
      </c>
      <c r="B42" s="14" t="s">
        <v>1248</v>
      </c>
      <c r="C42" s="14" t="s">
        <v>79</v>
      </c>
      <c r="D42" s="8" t="s">
        <v>79</v>
      </c>
      <c r="E42" s="8" t="s">
        <v>1249</v>
      </c>
      <c r="F42" s="14" t="s">
        <v>1250</v>
      </c>
    </row>
    <row r="43" spans="1:6" ht="15" x14ac:dyDescent="0.3">
      <c r="A43" s="14" t="s">
        <v>1251</v>
      </c>
      <c r="B43" s="14" t="s">
        <v>1248</v>
      </c>
      <c r="C43" s="14" t="s">
        <v>79</v>
      </c>
      <c r="D43" s="8" t="s">
        <v>79</v>
      </c>
      <c r="E43" s="8" t="s">
        <v>1252</v>
      </c>
      <c r="F43" s="14" t="s">
        <v>1250</v>
      </c>
    </row>
  </sheetData>
  <mergeCells count="1">
    <mergeCell ref="A1:F1"/>
  </mergeCells>
  <conditionalFormatting sqref="C5:C1000">
    <cfRule type="expression" dxfId="15" priority="1">
      <formula>$C5="GET"</formula>
    </cfRule>
    <cfRule type="expression" dxfId="14" priority="2">
      <formula>$C5="POST"</formula>
    </cfRule>
    <cfRule type="expression" dxfId="13" priority="3">
      <formula>$C5="PUT"</formula>
    </cfRule>
    <cfRule type="expression" dxfId="12" priority="4">
      <formula>$C5="PATCH"</formula>
    </cfRule>
    <cfRule type="expression" dxfId="11" priority="5">
      <formula>$C5="DELETE"</formula>
    </cfRule>
  </conditionalFormatting>
  <hyperlinks>
    <hyperlink ref="F2" location="'Dashboard'!A1" display="← Torna alla Dashboard" xr:uid="{00000000-0004-0000-0F00-000000000000}"/>
  </hyperlinks>
  <pageMargins left="0.75" right="0.75" top="1" bottom="1" header="0.5" footer="0.5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2E7D32"/>
  </sheetPr>
  <dimension ref="A1:C17"/>
  <sheetViews>
    <sheetView showGridLines="0" workbookViewId="0">
      <pane xSplit="1" ySplit="4" topLeftCell="B5" activePane="bottomRight" state="frozen"/>
      <selection pane="topRight"/>
      <selection pane="bottomLeft"/>
      <selection pane="bottomRight" sqref="A1:C1"/>
    </sheetView>
  </sheetViews>
  <sheetFormatPr defaultRowHeight="14.4" x14ac:dyDescent="0.3"/>
  <cols>
    <col min="1" max="1" width="22" customWidth="1"/>
    <col min="2" max="2" width="38" customWidth="1"/>
    <col min="3" max="3" width="80" customWidth="1"/>
  </cols>
  <sheetData>
    <row r="1" spans="1:3" ht="34.049999999999997" customHeight="1" x14ac:dyDescent="0.3">
      <c r="A1" s="30" t="s">
        <v>1253</v>
      </c>
      <c r="B1" s="31"/>
      <c r="C1" s="31"/>
    </row>
    <row r="2" spans="1:3" ht="19.95" customHeight="1" x14ac:dyDescent="0.35">
      <c r="A2" s="1" t="s">
        <v>1254</v>
      </c>
      <c r="C2" s="12" t="s">
        <v>145</v>
      </c>
    </row>
    <row r="4" spans="1:3" ht="24" customHeight="1" x14ac:dyDescent="0.3">
      <c r="A4" s="13" t="s">
        <v>933</v>
      </c>
      <c r="B4" s="13" t="s">
        <v>55</v>
      </c>
      <c r="C4" s="13" t="s">
        <v>934</v>
      </c>
    </row>
    <row r="5" spans="1:3" ht="15" x14ac:dyDescent="0.3">
      <c r="A5" s="14" t="s">
        <v>1255</v>
      </c>
      <c r="B5" s="14" t="s">
        <v>1256</v>
      </c>
      <c r="C5" s="8" t="s">
        <v>1257</v>
      </c>
    </row>
    <row r="6" spans="1:3" ht="15" x14ac:dyDescent="0.3">
      <c r="A6" s="14" t="s">
        <v>1258</v>
      </c>
      <c r="B6" s="14" t="s">
        <v>1259</v>
      </c>
      <c r="C6" s="8" t="s">
        <v>1260</v>
      </c>
    </row>
    <row r="7" spans="1:3" ht="15" x14ac:dyDescent="0.3">
      <c r="A7" s="14" t="s">
        <v>238</v>
      </c>
      <c r="B7" s="14" t="s">
        <v>1256</v>
      </c>
      <c r="C7" s="8" t="s">
        <v>1261</v>
      </c>
    </row>
    <row r="8" spans="1:3" ht="15" x14ac:dyDescent="0.3">
      <c r="A8" s="14" t="s">
        <v>1262</v>
      </c>
      <c r="B8" s="14" t="s">
        <v>1263</v>
      </c>
      <c r="C8" s="8" t="s">
        <v>1264</v>
      </c>
    </row>
    <row r="9" spans="1:3" ht="15" x14ac:dyDescent="0.3">
      <c r="A9" s="14" t="s">
        <v>1265</v>
      </c>
      <c r="B9" s="14" t="s">
        <v>1266</v>
      </c>
      <c r="C9" s="8" t="s">
        <v>1267</v>
      </c>
    </row>
    <row r="10" spans="1:3" ht="15" x14ac:dyDescent="0.3">
      <c r="A10" s="14" t="s">
        <v>1097</v>
      </c>
      <c r="B10" s="14" t="s">
        <v>1268</v>
      </c>
      <c r="C10" s="8" t="s">
        <v>1269</v>
      </c>
    </row>
    <row r="11" spans="1:3" ht="15" x14ac:dyDescent="0.3">
      <c r="A11" s="14" t="s">
        <v>341</v>
      </c>
      <c r="B11" s="14" t="s">
        <v>1270</v>
      </c>
      <c r="C11" s="8" t="s">
        <v>1271</v>
      </c>
    </row>
    <row r="12" spans="1:3" ht="15" x14ac:dyDescent="0.3">
      <c r="A12" s="14" t="s">
        <v>1272</v>
      </c>
      <c r="B12" s="14" t="s">
        <v>1273</v>
      </c>
      <c r="C12" s="8" t="s">
        <v>1274</v>
      </c>
    </row>
    <row r="13" spans="1:3" ht="15" x14ac:dyDescent="0.3">
      <c r="A13" s="14" t="s">
        <v>1275</v>
      </c>
      <c r="B13" s="14" t="s">
        <v>1276</v>
      </c>
      <c r="C13" s="8" t="s">
        <v>1277</v>
      </c>
    </row>
    <row r="14" spans="1:3" ht="15" x14ac:dyDescent="0.3">
      <c r="A14" s="14" t="s">
        <v>1278</v>
      </c>
      <c r="B14" s="14" t="s">
        <v>1279</v>
      </c>
      <c r="C14" s="8" t="s">
        <v>1280</v>
      </c>
    </row>
    <row r="15" spans="1:3" ht="15" x14ac:dyDescent="0.3">
      <c r="A15" s="14" t="s">
        <v>1281</v>
      </c>
      <c r="B15" s="14" t="s">
        <v>1282</v>
      </c>
      <c r="C15" s="8" t="s">
        <v>1283</v>
      </c>
    </row>
    <row r="16" spans="1:3" ht="15" x14ac:dyDescent="0.3">
      <c r="A16" s="14" t="s">
        <v>1284</v>
      </c>
      <c r="B16" s="14" t="s">
        <v>1032</v>
      </c>
      <c r="C16" s="8" t="s">
        <v>1285</v>
      </c>
    </row>
    <row r="17" spans="1:3" ht="15" x14ac:dyDescent="0.3">
      <c r="A17" s="14" t="s">
        <v>1286</v>
      </c>
      <c r="B17" s="14" t="s">
        <v>1287</v>
      </c>
      <c r="C17" s="8" t="s">
        <v>1288</v>
      </c>
    </row>
  </sheetData>
  <mergeCells count="1">
    <mergeCell ref="A1:C1"/>
  </mergeCells>
  <hyperlinks>
    <hyperlink ref="C2" location="'Dashboard'!A1" display="← Torna alla Dashboard" xr:uid="{00000000-0004-0000-1000-000000000000}"/>
  </hyperlinks>
  <pageMargins left="0.75" right="0.75" top="1" bottom="1" header="0.5" footer="0.5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2E7D32"/>
  </sheetPr>
  <dimension ref="A1:C13"/>
  <sheetViews>
    <sheetView showGridLines="0" workbookViewId="0">
      <pane xSplit="1" ySplit="4" topLeftCell="B5" activePane="bottomRight" state="frozen"/>
      <selection pane="topRight"/>
      <selection pane="bottomLeft"/>
      <selection pane="bottomRight" sqref="A1:C1"/>
    </sheetView>
  </sheetViews>
  <sheetFormatPr defaultRowHeight="14.4" x14ac:dyDescent="0.3"/>
  <cols>
    <col min="1" max="1" width="40" customWidth="1"/>
    <col min="2" max="2" width="64" customWidth="1"/>
    <col min="3" max="3" width="10" customWidth="1"/>
  </cols>
  <sheetData>
    <row r="1" spans="1:3" ht="34.049999999999997" customHeight="1" x14ac:dyDescent="0.3">
      <c r="A1" s="30" t="s">
        <v>1289</v>
      </c>
      <c r="B1" s="31"/>
      <c r="C1" s="31"/>
    </row>
    <row r="2" spans="1:3" ht="19.95" customHeight="1" x14ac:dyDescent="0.35">
      <c r="A2" s="1" t="s">
        <v>1290</v>
      </c>
      <c r="C2" s="12" t="s">
        <v>145</v>
      </c>
    </row>
    <row r="3" spans="1:3" ht="19.2" x14ac:dyDescent="0.45">
      <c r="A3" s="15" t="s">
        <v>884</v>
      </c>
      <c r="B3" s="18">
        <f>SUM(C5:C1000)</f>
        <v>64</v>
      </c>
    </row>
    <row r="4" spans="1:3" ht="24" customHeight="1" x14ac:dyDescent="0.3">
      <c r="A4" s="13" t="s">
        <v>1291</v>
      </c>
      <c r="B4" s="13" t="s">
        <v>886</v>
      </c>
      <c r="C4" s="13" t="s">
        <v>888</v>
      </c>
    </row>
    <row r="5" spans="1:3" ht="15" x14ac:dyDescent="0.3">
      <c r="A5" s="14" t="s">
        <v>1292</v>
      </c>
      <c r="B5" s="8" t="s">
        <v>1293</v>
      </c>
      <c r="C5" s="14">
        <v>16</v>
      </c>
    </row>
    <row r="6" spans="1:3" ht="15" x14ac:dyDescent="0.3">
      <c r="A6" s="14" t="s">
        <v>1294</v>
      </c>
      <c r="B6" s="8" t="s">
        <v>1295</v>
      </c>
      <c r="C6" s="14">
        <v>11</v>
      </c>
    </row>
    <row r="7" spans="1:3" ht="15" x14ac:dyDescent="0.3">
      <c r="A7" s="14" t="s">
        <v>1296</v>
      </c>
      <c r="B7" s="8" t="s">
        <v>1297</v>
      </c>
      <c r="C7" s="14">
        <v>10</v>
      </c>
    </row>
    <row r="8" spans="1:3" ht="15" x14ac:dyDescent="0.3">
      <c r="A8" s="14" t="s">
        <v>1298</v>
      </c>
      <c r="B8" s="8" t="s">
        <v>1299</v>
      </c>
      <c r="C8" s="14">
        <v>8</v>
      </c>
    </row>
    <row r="9" spans="1:3" ht="15" x14ac:dyDescent="0.3">
      <c r="A9" s="14" t="s">
        <v>1300</v>
      </c>
      <c r="B9" s="8" t="s">
        <v>1301</v>
      </c>
      <c r="C9" s="14">
        <v>6</v>
      </c>
    </row>
    <row r="10" spans="1:3" ht="15" x14ac:dyDescent="0.3">
      <c r="A10" s="14" t="s">
        <v>1302</v>
      </c>
      <c r="B10" s="8" t="s">
        <v>1303</v>
      </c>
      <c r="C10" s="14">
        <v>5</v>
      </c>
    </row>
    <row r="11" spans="1:3" ht="15" x14ac:dyDescent="0.3">
      <c r="A11" s="14" t="s">
        <v>1304</v>
      </c>
      <c r="B11" s="8" t="s">
        <v>1305</v>
      </c>
      <c r="C11" s="14">
        <v>5</v>
      </c>
    </row>
    <row r="12" spans="1:3" ht="15" x14ac:dyDescent="0.3">
      <c r="A12" s="14" t="s">
        <v>1306</v>
      </c>
      <c r="B12" s="8" t="s">
        <v>1307</v>
      </c>
      <c r="C12" s="14">
        <v>2</v>
      </c>
    </row>
    <row r="13" spans="1:3" ht="15" x14ac:dyDescent="0.3">
      <c r="A13" s="14" t="s">
        <v>1308</v>
      </c>
      <c r="B13" s="8" t="s">
        <v>1309</v>
      </c>
      <c r="C13" s="14">
        <v>1</v>
      </c>
    </row>
  </sheetData>
  <mergeCells count="1">
    <mergeCell ref="A1:C1"/>
  </mergeCells>
  <hyperlinks>
    <hyperlink ref="C2" location="'Dashboard'!A1" display="← Torna alla Dashboard" xr:uid="{00000000-0004-0000-1100-000000000000}"/>
  </hyperlinks>
  <pageMargins left="0.75" right="0.75" top="1" bottom="1" header="0.5" footer="0.5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C55A11"/>
  </sheetPr>
  <dimension ref="A1:F1000"/>
  <sheetViews>
    <sheetView showGridLines="0" tabSelected="1" workbookViewId="0">
      <pane xSplit="1" ySplit="4" topLeftCell="B5" activePane="bottomRight" state="frozen"/>
      <selection pane="topRight"/>
      <selection pane="bottomLeft"/>
      <selection pane="bottomRight" activeCell="E7" sqref="E7"/>
    </sheetView>
  </sheetViews>
  <sheetFormatPr defaultRowHeight="14.4" x14ac:dyDescent="0.3"/>
  <cols>
    <col min="1" max="2" width="12" customWidth="1"/>
    <col min="3" max="3" width="60" customWidth="1"/>
    <col min="4" max="4" width="50" customWidth="1"/>
    <col min="5" max="5" width="12" customWidth="1"/>
    <col min="6" max="6" width="40" customWidth="1"/>
  </cols>
  <sheetData>
    <row r="1" spans="1:6" ht="34.049999999999997" customHeight="1" x14ac:dyDescent="0.3">
      <c r="A1" s="32" t="s">
        <v>1310</v>
      </c>
      <c r="B1" s="33"/>
      <c r="C1" s="33"/>
      <c r="D1" s="33"/>
      <c r="E1" s="33"/>
      <c r="F1" s="33"/>
    </row>
    <row r="2" spans="1:6" ht="19.95" customHeight="1" x14ac:dyDescent="0.35">
      <c r="A2" s="1" t="s">
        <v>1311</v>
      </c>
      <c r="F2" s="12" t="s">
        <v>145</v>
      </c>
    </row>
    <row r="4" spans="1:6" ht="24" customHeight="1" x14ac:dyDescent="0.3">
      <c r="A4" s="13" t="s">
        <v>1005</v>
      </c>
      <c r="B4" s="13" t="s">
        <v>256</v>
      </c>
      <c r="C4" s="13" t="s">
        <v>1312</v>
      </c>
      <c r="D4" s="13" t="s">
        <v>1313</v>
      </c>
      <c r="E4" s="13" t="s">
        <v>73</v>
      </c>
      <c r="F4" s="13" t="s">
        <v>151</v>
      </c>
    </row>
    <row r="5" spans="1:6" ht="45" x14ac:dyDescent="0.3">
      <c r="A5" s="17">
        <v>46297</v>
      </c>
      <c r="B5" s="14" t="s">
        <v>126</v>
      </c>
      <c r="C5" s="8" t="s">
        <v>1314</v>
      </c>
      <c r="D5" s="8" t="s">
        <v>1315</v>
      </c>
      <c r="E5" s="14" t="s">
        <v>1336</v>
      </c>
      <c r="F5" s="8" t="s">
        <v>1316</v>
      </c>
    </row>
    <row r="6" spans="1:6" ht="45" x14ac:dyDescent="0.3">
      <c r="A6" s="17">
        <v>46297</v>
      </c>
      <c r="B6" s="14" t="s">
        <v>363</v>
      </c>
      <c r="C6" s="8" t="s">
        <v>1317</v>
      </c>
      <c r="D6" s="8" t="s">
        <v>1318</v>
      </c>
      <c r="E6" s="14" t="s">
        <v>1336</v>
      </c>
      <c r="F6" s="8" t="s">
        <v>1319</v>
      </c>
    </row>
    <row r="7" spans="1:6" ht="30" x14ac:dyDescent="0.3">
      <c r="A7" s="17">
        <v>46297</v>
      </c>
      <c r="B7" s="14" t="s">
        <v>1320</v>
      </c>
      <c r="C7" s="8" t="s">
        <v>1321</v>
      </c>
      <c r="D7" s="8" t="s">
        <v>1322</v>
      </c>
      <c r="E7" s="14" t="s">
        <v>1336</v>
      </c>
      <c r="F7" s="8"/>
    </row>
    <row r="8" spans="1:6" ht="30" x14ac:dyDescent="0.3">
      <c r="A8" s="17">
        <v>46297</v>
      </c>
      <c r="B8" s="14" t="s">
        <v>126</v>
      </c>
      <c r="C8" s="8" t="s">
        <v>1323</v>
      </c>
      <c r="D8" s="8" t="s">
        <v>1324</v>
      </c>
      <c r="E8" s="14" t="s">
        <v>1336</v>
      </c>
      <c r="F8" s="8" t="s">
        <v>1325</v>
      </c>
    </row>
    <row r="9" spans="1:6" ht="15" x14ac:dyDescent="0.3">
      <c r="A9" s="17"/>
      <c r="B9" s="14"/>
      <c r="C9" s="8"/>
      <c r="D9" s="8"/>
      <c r="E9" s="14"/>
      <c r="F9" s="8"/>
    </row>
    <row r="10" spans="1:6" ht="15" x14ac:dyDescent="0.3">
      <c r="A10" s="17"/>
      <c r="B10" s="14"/>
      <c r="C10" s="8"/>
      <c r="D10" s="8"/>
      <c r="E10" s="14"/>
      <c r="F10" s="8"/>
    </row>
    <row r="11" spans="1:6" ht="15" x14ac:dyDescent="0.3">
      <c r="A11" s="17"/>
      <c r="B11" s="14"/>
      <c r="C11" s="8"/>
      <c r="D11" s="8"/>
      <c r="E11" s="14"/>
      <c r="F11" s="8"/>
    </row>
    <row r="12" spans="1:6" ht="15" x14ac:dyDescent="0.3">
      <c r="A12" s="17"/>
      <c r="B12" s="14"/>
      <c r="C12" s="8"/>
      <c r="D12" s="8"/>
      <c r="E12" s="14"/>
      <c r="F12" s="8"/>
    </row>
    <row r="13" spans="1:6" ht="15" x14ac:dyDescent="0.3">
      <c r="A13" s="17"/>
      <c r="B13" s="14"/>
      <c r="C13" s="8"/>
      <c r="D13" s="8"/>
      <c r="E13" s="14"/>
      <c r="F13" s="8"/>
    </row>
    <row r="14" spans="1:6" ht="15" x14ac:dyDescent="0.3">
      <c r="A14" s="17"/>
      <c r="B14" s="14"/>
      <c r="C14" s="8"/>
      <c r="D14" s="8"/>
      <c r="E14" s="14"/>
      <c r="F14" s="8"/>
    </row>
    <row r="15" spans="1:6" ht="15" x14ac:dyDescent="0.3">
      <c r="A15" s="17"/>
      <c r="B15" s="14"/>
      <c r="C15" s="8"/>
      <c r="D15" s="8"/>
      <c r="E15" s="14"/>
      <c r="F15" s="8"/>
    </row>
    <row r="16" spans="1:6" ht="15" x14ac:dyDescent="0.3">
      <c r="A16" s="17"/>
      <c r="B16" s="14"/>
      <c r="C16" s="8"/>
      <c r="D16" s="8"/>
      <c r="E16" s="14"/>
      <c r="F16" s="8"/>
    </row>
    <row r="17" spans="1:6" ht="15" x14ac:dyDescent="0.3">
      <c r="A17" s="17"/>
      <c r="B17" s="14"/>
      <c r="C17" s="8"/>
      <c r="D17" s="8"/>
      <c r="E17" s="14"/>
      <c r="F17" s="8"/>
    </row>
    <row r="18" spans="1:6" ht="15" x14ac:dyDescent="0.3">
      <c r="A18" s="17"/>
      <c r="B18" s="14"/>
      <c r="C18" s="8"/>
      <c r="D18" s="8"/>
      <c r="E18" s="14"/>
      <c r="F18" s="8"/>
    </row>
    <row r="19" spans="1:6" ht="15" x14ac:dyDescent="0.3">
      <c r="A19" s="17"/>
      <c r="B19" s="14"/>
      <c r="C19" s="8"/>
      <c r="D19" s="8"/>
      <c r="E19" s="14"/>
      <c r="F19" s="8"/>
    </row>
    <row r="20" spans="1:6" ht="15" x14ac:dyDescent="0.3">
      <c r="A20" s="17"/>
      <c r="B20" s="14"/>
      <c r="C20" s="8"/>
      <c r="D20" s="8"/>
      <c r="E20" s="14"/>
      <c r="F20" s="8"/>
    </row>
    <row r="21" spans="1:6" ht="15" x14ac:dyDescent="0.3">
      <c r="A21" s="17"/>
      <c r="B21" s="14"/>
      <c r="C21" s="8"/>
      <c r="D21" s="8"/>
      <c r="E21" s="14"/>
      <c r="F21" s="8"/>
    </row>
    <row r="22" spans="1:6" ht="15" x14ac:dyDescent="0.3">
      <c r="A22" s="17"/>
      <c r="B22" s="14"/>
      <c r="C22" s="8"/>
      <c r="D22" s="8"/>
      <c r="E22" s="14"/>
      <c r="F22" s="8"/>
    </row>
    <row r="23" spans="1:6" ht="15" x14ac:dyDescent="0.3">
      <c r="A23" s="17"/>
      <c r="B23" s="14"/>
      <c r="C23" s="8"/>
      <c r="D23" s="8"/>
      <c r="E23" s="14"/>
      <c r="F23" s="8"/>
    </row>
    <row r="24" spans="1:6" ht="15" x14ac:dyDescent="0.3">
      <c r="A24" s="17"/>
      <c r="B24" s="14"/>
      <c r="C24" s="8"/>
      <c r="D24" s="8"/>
      <c r="E24" s="14"/>
      <c r="F24" s="8"/>
    </row>
    <row r="25" spans="1:6" ht="15" x14ac:dyDescent="0.3">
      <c r="A25" s="17"/>
      <c r="B25" s="14"/>
      <c r="C25" s="8"/>
      <c r="D25" s="8"/>
      <c r="E25" s="14"/>
      <c r="F25" s="8"/>
    </row>
    <row r="26" spans="1:6" ht="15" x14ac:dyDescent="0.3">
      <c r="A26" s="17"/>
      <c r="B26" s="14"/>
      <c r="C26" s="8"/>
      <c r="D26" s="8"/>
      <c r="E26" s="14"/>
      <c r="F26" s="8"/>
    </row>
    <row r="27" spans="1:6" ht="15" x14ac:dyDescent="0.3">
      <c r="A27" s="17"/>
      <c r="B27" s="14"/>
      <c r="C27" s="8"/>
      <c r="D27" s="8"/>
      <c r="E27" s="14"/>
      <c r="F27" s="8"/>
    </row>
    <row r="28" spans="1:6" ht="15" x14ac:dyDescent="0.3">
      <c r="A28" s="17"/>
      <c r="B28" s="14"/>
      <c r="C28" s="8"/>
      <c r="D28" s="8"/>
      <c r="E28" s="14"/>
      <c r="F28" s="8"/>
    </row>
    <row r="29" spans="1:6" ht="15" x14ac:dyDescent="0.3">
      <c r="A29" s="17"/>
      <c r="B29" s="14"/>
      <c r="C29" s="8"/>
      <c r="D29" s="8"/>
      <c r="E29" s="14"/>
      <c r="F29" s="8"/>
    </row>
    <row r="30" spans="1:6" ht="15" x14ac:dyDescent="0.3">
      <c r="A30" s="17"/>
      <c r="B30" s="14"/>
      <c r="C30" s="8"/>
      <c r="D30" s="8"/>
      <c r="E30" s="14"/>
      <c r="F30" s="8"/>
    </row>
    <row r="31" spans="1:6" ht="15" x14ac:dyDescent="0.3">
      <c r="A31" s="17"/>
      <c r="B31" s="14"/>
      <c r="C31" s="8"/>
      <c r="D31" s="8"/>
      <c r="E31" s="14"/>
      <c r="F31" s="8"/>
    </row>
    <row r="32" spans="1:6" ht="15" x14ac:dyDescent="0.3">
      <c r="A32" s="17"/>
      <c r="B32" s="14"/>
      <c r="C32" s="8"/>
      <c r="D32" s="8"/>
      <c r="E32" s="14"/>
      <c r="F32" s="8"/>
    </row>
    <row r="33" spans="1:6" ht="15" x14ac:dyDescent="0.3">
      <c r="A33" s="17"/>
      <c r="B33" s="14"/>
      <c r="C33" s="8"/>
      <c r="D33" s="8"/>
      <c r="E33" s="14"/>
      <c r="F33" s="8"/>
    </row>
    <row r="34" spans="1:6" ht="15" x14ac:dyDescent="0.3">
      <c r="A34" s="17"/>
      <c r="B34" s="14"/>
      <c r="C34" s="8"/>
      <c r="D34" s="8"/>
      <c r="E34" s="14"/>
      <c r="F34" s="8"/>
    </row>
    <row r="35" spans="1:6" x14ac:dyDescent="0.3">
      <c r="A35" s="19"/>
    </row>
    <row r="36" spans="1:6" x14ac:dyDescent="0.3">
      <c r="A36" s="19"/>
    </row>
    <row r="37" spans="1:6" x14ac:dyDescent="0.3">
      <c r="A37" s="19"/>
    </row>
    <row r="38" spans="1:6" x14ac:dyDescent="0.3">
      <c r="A38" s="19"/>
    </row>
    <row r="39" spans="1:6" x14ac:dyDescent="0.3">
      <c r="A39" s="19"/>
    </row>
    <row r="40" spans="1:6" x14ac:dyDescent="0.3">
      <c r="A40" s="19"/>
    </row>
    <row r="41" spans="1:6" x14ac:dyDescent="0.3">
      <c r="A41" s="19"/>
    </row>
    <row r="42" spans="1:6" x14ac:dyDescent="0.3">
      <c r="A42" s="19"/>
    </row>
    <row r="43" spans="1:6" x14ac:dyDescent="0.3">
      <c r="A43" s="19"/>
    </row>
    <row r="44" spans="1:6" x14ac:dyDescent="0.3">
      <c r="A44" s="19"/>
    </row>
    <row r="45" spans="1:6" x14ac:dyDescent="0.3">
      <c r="A45" s="19"/>
    </row>
    <row r="46" spans="1:6" x14ac:dyDescent="0.3">
      <c r="A46" s="19"/>
    </row>
    <row r="47" spans="1:6" x14ac:dyDescent="0.3">
      <c r="A47" s="19"/>
    </row>
    <row r="48" spans="1:6" x14ac:dyDescent="0.3">
      <c r="A48" s="19"/>
    </row>
    <row r="49" spans="1:1" x14ac:dyDescent="0.3">
      <c r="A49" s="19"/>
    </row>
    <row r="50" spans="1:1" x14ac:dyDescent="0.3">
      <c r="A50" s="19"/>
    </row>
    <row r="51" spans="1:1" x14ac:dyDescent="0.3">
      <c r="A51" s="19"/>
    </row>
    <row r="52" spans="1:1" x14ac:dyDescent="0.3">
      <c r="A52" s="19"/>
    </row>
    <row r="53" spans="1:1" x14ac:dyDescent="0.3">
      <c r="A53" s="19"/>
    </row>
    <row r="54" spans="1:1" x14ac:dyDescent="0.3">
      <c r="A54" s="19"/>
    </row>
    <row r="55" spans="1:1" x14ac:dyDescent="0.3">
      <c r="A55" s="19"/>
    </row>
    <row r="56" spans="1:1" x14ac:dyDescent="0.3">
      <c r="A56" s="19"/>
    </row>
    <row r="57" spans="1:1" x14ac:dyDescent="0.3">
      <c r="A57" s="19"/>
    </row>
    <row r="58" spans="1:1" x14ac:dyDescent="0.3">
      <c r="A58" s="19"/>
    </row>
    <row r="59" spans="1:1" x14ac:dyDescent="0.3">
      <c r="A59" s="19"/>
    </row>
    <row r="60" spans="1:1" x14ac:dyDescent="0.3">
      <c r="A60" s="19"/>
    </row>
    <row r="61" spans="1:1" x14ac:dyDescent="0.3">
      <c r="A61" s="19"/>
    </row>
    <row r="62" spans="1:1" x14ac:dyDescent="0.3">
      <c r="A62" s="19"/>
    </row>
    <row r="63" spans="1:1" x14ac:dyDescent="0.3">
      <c r="A63" s="19"/>
    </row>
    <row r="64" spans="1:1" x14ac:dyDescent="0.3">
      <c r="A64" s="19"/>
    </row>
    <row r="65" spans="1:1" x14ac:dyDescent="0.3">
      <c r="A65" s="19"/>
    </row>
    <row r="66" spans="1:1" x14ac:dyDescent="0.3">
      <c r="A66" s="19"/>
    </row>
    <row r="67" spans="1:1" x14ac:dyDescent="0.3">
      <c r="A67" s="19"/>
    </row>
    <row r="68" spans="1:1" x14ac:dyDescent="0.3">
      <c r="A68" s="19"/>
    </row>
    <row r="69" spans="1:1" x14ac:dyDescent="0.3">
      <c r="A69" s="19"/>
    </row>
    <row r="70" spans="1:1" x14ac:dyDescent="0.3">
      <c r="A70" s="19"/>
    </row>
    <row r="71" spans="1:1" x14ac:dyDescent="0.3">
      <c r="A71" s="19"/>
    </row>
    <row r="72" spans="1:1" x14ac:dyDescent="0.3">
      <c r="A72" s="19"/>
    </row>
    <row r="73" spans="1:1" x14ac:dyDescent="0.3">
      <c r="A73" s="19"/>
    </row>
    <row r="74" spans="1:1" x14ac:dyDescent="0.3">
      <c r="A74" s="19"/>
    </row>
    <row r="75" spans="1:1" x14ac:dyDescent="0.3">
      <c r="A75" s="19"/>
    </row>
    <row r="76" spans="1:1" x14ac:dyDescent="0.3">
      <c r="A76" s="19"/>
    </row>
    <row r="77" spans="1:1" x14ac:dyDescent="0.3">
      <c r="A77" s="19"/>
    </row>
    <row r="78" spans="1:1" x14ac:dyDescent="0.3">
      <c r="A78" s="19"/>
    </row>
    <row r="79" spans="1:1" x14ac:dyDescent="0.3">
      <c r="A79" s="19"/>
    </row>
    <row r="80" spans="1:1" x14ac:dyDescent="0.3">
      <c r="A80" s="19"/>
    </row>
    <row r="81" spans="1:1" x14ac:dyDescent="0.3">
      <c r="A81" s="19"/>
    </row>
    <row r="82" spans="1:1" x14ac:dyDescent="0.3">
      <c r="A82" s="19"/>
    </row>
    <row r="83" spans="1:1" x14ac:dyDescent="0.3">
      <c r="A83" s="19"/>
    </row>
    <row r="84" spans="1:1" x14ac:dyDescent="0.3">
      <c r="A84" s="19"/>
    </row>
    <row r="85" spans="1:1" x14ac:dyDescent="0.3">
      <c r="A85" s="19"/>
    </row>
    <row r="86" spans="1:1" x14ac:dyDescent="0.3">
      <c r="A86" s="19"/>
    </row>
    <row r="87" spans="1:1" x14ac:dyDescent="0.3">
      <c r="A87" s="19"/>
    </row>
    <row r="88" spans="1:1" x14ac:dyDescent="0.3">
      <c r="A88" s="19"/>
    </row>
    <row r="89" spans="1:1" x14ac:dyDescent="0.3">
      <c r="A89" s="19"/>
    </row>
    <row r="90" spans="1:1" x14ac:dyDescent="0.3">
      <c r="A90" s="19"/>
    </row>
    <row r="91" spans="1:1" x14ac:dyDescent="0.3">
      <c r="A91" s="19"/>
    </row>
    <row r="92" spans="1:1" x14ac:dyDescent="0.3">
      <c r="A92" s="19"/>
    </row>
    <row r="93" spans="1:1" x14ac:dyDescent="0.3">
      <c r="A93" s="19"/>
    </row>
    <row r="94" spans="1:1" x14ac:dyDescent="0.3">
      <c r="A94" s="19"/>
    </row>
    <row r="95" spans="1:1" x14ac:dyDescent="0.3">
      <c r="A95" s="19"/>
    </row>
    <row r="96" spans="1:1" x14ac:dyDescent="0.3">
      <c r="A96" s="19"/>
    </row>
    <row r="97" spans="1:1" x14ac:dyDescent="0.3">
      <c r="A97" s="19"/>
    </row>
    <row r="98" spans="1:1" x14ac:dyDescent="0.3">
      <c r="A98" s="19"/>
    </row>
    <row r="99" spans="1:1" x14ac:dyDescent="0.3">
      <c r="A99" s="19"/>
    </row>
    <row r="100" spans="1:1" x14ac:dyDescent="0.3">
      <c r="A100" s="19"/>
    </row>
    <row r="101" spans="1:1" x14ac:dyDescent="0.3">
      <c r="A101" s="19"/>
    </row>
    <row r="102" spans="1:1" x14ac:dyDescent="0.3">
      <c r="A102" s="19"/>
    </row>
    <row r="103" spans="1:1" x14ac:dyDescent="0.3">
      <c r="A103" s="19"/>
    </row>
    <row r="104" spans="1:1" x14ac:dyDescent="0.3">
      <c r="A104" s="19"/>
    </row>
    <row r="105" spans="1:1" x14ac:dyDescent="0.3">
      <c r="A105" s="19"/>
    </row>
    <row r="106" spans="1:1" x14ac:dyDescent="0.3">
      <c r="A106" s="19"/>
    </row>
    <row r="107" spans="1:1" x14ac:dyDescent="0.3">
      <c r="A107" s="19"/>
    </row>
    <row r="108" spans="1:1" x14ac:dyDescent="0.3">
      <c r="A108" s="19"/>
    </row>
    <row r="109" spans="1:1" x14ac:dyDescent="0.3">
      <c r="A109" s="19"/>
    </row>
    <row r="110" spans="1:1" x14ac:dyDescent="0.3">
      <c r="A110" s="19"/>
    </row>
    <row r="111" spans="1:1" x14ac:dyDescent="0.3">
      <c r="A111" s="19"/>
    </row>
    <row r="112" spans="1:1" x14ac:dyDescent="0.3">
      <c r="A112" s="19"/>
    </row>
    <row r="113" spans="1:1" x14ac:dyDescent="0.3">
      <c r="A113" s="19"/>
    </row>
    <row r="114" spans="1:1" x14ac:dyDescent="0.3">
      <c r="A114" s="19"/>
    </row>
    <row r="115" spans="1:1" x14ac:dyDescent="0.3">
      <c r="A115" s="19"/>
    </row>
    <row r="116" spans="1:1" x14ac:dyDescent="0.3">
      <c r="A116" s="19"/>
    </row>
    <row r="117" spans="1:1" x14ac:dyDescent="0.3">
      <c r="A117" s="19"/>
    </row>
    <row r="118" spans="1:1" x14ac:dyDescent="0.3">
      <c r="A118" s="19"/>
    </row>
    <row r="119" spans="1:1" x14ac:dyDescent="0.3">
      <c r="A119" s="19"/>
    </row>
    <row r="120" spans="1:1" x14ac:dyDescent="0.3">
      <c r="A120" s="19"/>
    </row>
    <row r="121" spans="1:1" x14ac:dyDescent="0.3">
      <c r="A121" s="19"/>
    </row>
    <row r="122" spans="1:1" x14ac:dyDescent="0.3">
      <c r="A122" s="19"/>
    </row>
    <row r="123" spans="1:1" x14ac:dyDescent="0.3">
      <c r="A123" s="19"/>
    </row>
    <row r="124" spans="1:1" x14ac:dyDescent="0.3">
      <c r="A124" s="19"/>
    </row>
    <row r="125" spans="1:1" x14ac:dyDescent="0.3">
      <c r="A125" s="19"/>
    </row>
    <row r="126" spans="1:1" x14ac:dyDescent="0.3">
      <c r="A126" s="19"/>
    </row>
    <row r="127" spans="1:1" x14ac:dyDescent="0.3">
      <c r="A127" s="19"/>
    </row>
    <row r="128" spans="1:1" x14ac:dyDescent="0.3">
      <c r="A128" s="19"/>
    </row>
    <row r="129" spans="1:1" x14ac:dyDescent="0.3">
      <c r="A129" s="19"/>
    </row>
    <row r="130" spans="1:1" x14ac:dyDescent="0.3">
      <c r="A130" s="19"/>
    </row>
    <row r="131" spans="1:1" x14ac:dyDescent="0.3">
      <c r="A131" s="19"/>
    </row>
    <row r="132" spans="1:1" x14ac:dyDescent="0.3">
      <c r="A132" s="19"/>
    </row>
    <row r="133" spans="1:1" x14ac:dyDescent="0.3">
      <c r="A133" s="19"/>
    </row>
    <row r="134" spans="1:1" x14ac:dyDescent="0.3">
      <c r="A134" s="19"/>
    </row>
    <row r="135" spans="1:1" x14ac:dyDescent="0.3">
      <c r="A135" s="19"/>
    </row>
    <row r="136" spans="1:1" x14ac:dyDescent="0.3">
      <c r="A136" s="19"/>
    </row>
    <row r="137" spans="1:1" x14ac:dyDescent="0.3">
      <c r="A137" s="19"/>
    </row>
    <row r="138" spans="1:1" x14ac:dyDescent="0.3">
      <c r="A138" s="19"/>
    </row>
    <row r="139" spans="1:1" x14ac:dyDescent="0.3">
      <c r="A139" s="19"/>
    </row>
    <row r="140" spans="1:1" x14ac:dyDescent="0.3">
      <c r="A140" s="19"/>
    </row>
    <row r="141" spans="1:1" x14ac:dyDescent="0.3">
      <c r="A141" s="19"/>
    </row>
    <row r="142" spans="1:1" x14ac:dyDescent="0.3">
      <c r="A142" s="19"/>
    </row>
    <row r="143" spans="1:1" x14ac:dyDescent="0.3">
      <c r="A143" s="19"/>
    </row>
    <row r="144" spans="1:1" x14ac:dyDescent="0.3">
      <c r="A144" s="19"/>
    </row>
    <row r="145" spans="1:1" x14ac:dyDescent="0.3">
      <c r="A145" s="19"/>
    </row>
    <row r="146" spans="1:1" x14ac:dyDescent="0.3">
      <c r="A146" s="19"/>
    </row>
    <row r="147" spans="1:1" x14ac:dyDescent="0.3">
      <c r="A147" s="19"/>
    </row>
    <row r="148" spans="1:1" x14ac:dyDescent="0.3">
      <c r="A148" s="19"/>
    </row>
    <row r="149" spans="1:1" x14ac:dyDescent="0.3">
      <c r="A149" s="19"/>
    </row>
    <row r="150" spans="1:1" x14ac:dyDescent="0.3">
      <c r="A150" s="19"/>
    </row>
    <row r="151" spans="1:1" x14ac:dyDescent="0.3">
      <c r="A151" s="19"/>
    </row>
    <row r="152" spans="1:1" x14ac:dyDescent="0.3">
      <c r="A152" s="19"/>
    </row>
    <row r="153" spans="1:1" x14ac:dyDescent="0.3">
      <c r="A153" s="19"/>
    </row>
    <row r="154" spans="1:1" x14ac:dyDescent="0.3">
      <c r="A154" s="19"/>
    </row>
    <row r="155" spans="1:1" x14ac:dyDescent="0.3">
      <c r="A155" s="19"/>
    </row>
    <row r="156" spans="1:1" x14ac:dyDescent="0.3">
      <c r="A156" s="19"/>
    </row>
    <row r="157" spans="1:1" x14ac:dyDescent="0.3">
      <c r="A157" s="19"/>
    </row>
    <row r="158" spans="1:1" x14ac:dyDescent="0.3">
      <c r="A158" s="19"/>
    </row>
    <row r="159" spans="1:1" x14ac:dyDescent="0.3">
      <c r="A159" s="19"/>
    </row>
    <row r="160" spans="1:1" x14ac:dyDescent="0.3">
      <c r="A160" s="19"/>
    </row>
    <row r="161" spans="1:1" x14ac:dyDescent="0.3">
      <c r="A161" s="19"/>
    </row>
    <row r="162" spans="1:1" x14ac:dyDescent="0.3">
      <c r="A162" s="19"/>
    </row>
    <row r="163" spans="1:1" x14ac:dyDescent="0.3">
      <c r="A163" s="19"/>
    </row>
    <row r="164" spans="1:1" x14ac:dyDescent="0.3">
      <c r="A164" s="19"/>
    </row>
    <row r="165" spans="1:1" x14ac:dyDescent="0.3">
      <c r="A165" s="19"/>
    </row>
    <row r="166" spans="1:1" x14ac:dyDescent="0.3">
      <c r="A166" s="19"/>
    </row>
    <row r="167" spans="1:1" x14ac:dyDescent="0.3">
      <c r="A167" s="19"/>
    </row>
    <row r="168" spans="1:1" x14ac:dyDescent="0.3">
      <c r="A168" s="19"/>
    </row>
    <row r="169" spans="1:1" x14ac:dyDescent="0.3">
      <c r="A169" s="19"/>
    </row>
    <row r="170" spans="1:1" x14ac:dyDescent="0.3">
      <c r="A170" s="19"/>
    </row>
    <row r="171" spans="1:1" x14ac:dyDescent="0.3">
      <c r="A171" s="19"/>
    </row>
    <row r="172" spans="1:1" x14ac:dyDescent="0.3">
      <c r="A172" s="19"/>
    </row>
    <row r="173" spans="1:1" x14ac:dyDescent="0.3">
      <c r="A173" s="19"/>
    </row>
    <row r="174" spans="1:1" x14ac:dyDescent="0.3">
      <c r="A174" s="19"/>
    </row>
    <row r="175" spans="1:1" x14ac:dyDescent="0.3">
      <c r="A175" s="19"/>
    </row>
    <row r="176" spans="1:1" x14ac:dyDescent="0.3">
      <c r="A176" s="19"/>
    </row>
    <row r="177" spans="1:1" x14ac:dyDescent="0.3">
      <c r="A177" s="19"/>
    </row>
    <row r="178" spans="1:1" x14ac:dyDescent="0.3">
      <c r="A178" s="19"/>
    </row>
    <row r="179" spans="1:1" x14ac:dyDescent="0.3">
      <c r="A179" s="19"/>
    </row>
    <row r="180" spans="1:1" x14ac:dyDescent="0.3">
      <c r="A180" s="19"/>
    </row>
    <row r="181" spans="1:1" x14ac:dyDescent="0.3">
      <c r="A181" s="19"/>
    </row>
    <row r="182" spans="1:1" x14ac:dyDescent="0.3">
      <c r="A182" s="19"/>
    </row>
    <row r="183" spans="1:1" x14ac:dyDescent="0.3">
      <c r="A183" s="19"/>
    </row>
    <row r="184" spans="1:1" x14ac:dyDescent="0.3">
      <c r="A184" s="19"/>
    </row>
    <row r="185" spans="1:1" x14ac:dyDescent="0.3">
      <c r="A185" s="19"/>
    </row>
    <row r="186" spans="1:1" x14ac:dyDescent="0.3">
      <c r="A186" s="19"/>
    </row>
    <row r="187" spans="1:1" x14ac:dyDescent="0.3">
      <c r="A187" s="19"/>
    </row>
    <row r="188" spans="1:1" x14ac:dyDescent="0.3">
      <c r="A188" s="19"/>
    </row>
    <row r="189" spans="1:1" x14ac:dyDescent="0.3">
      <c r="A189" s="19"/>
    </row>
    <row r="190" spans="1:1" x14ac:dyDescent="0.3">
      <c r="A190" s="19"/>
    </row>
    <row r="191" spans="1:1" x14ac:dyDescent="0.3">
      <c r="A191" s="19"/>
    </row>
    <row r="192" spans="1:1" x14ac:dyDescent="0.3">
      <c r="A192" s="19"/>
    </row>
    <row r="193" spans="1:1" x14ac:dyDescent="0.3">
      <c r="A193" s="19"/>
    </row>
    <row r="194" spans="1:1" x14ac:dyDescent="0.3">
      <c r="A194" s="19"/>
    </row>
    <row r="195" spans="1:1" x14ac:dyDescent="0.3">
      <c r="A195" s="19"/>
    </row>
    <row r="196" spans="1:1" x14ac:dyDescent="0.3">
      <c r="A196" s="19"/>
    </row>
    <row r="197" spans="1:1" x14ac:dyDescent="0.3">
      <c r="A197" s="19"/>
    </row>
    <row r="198" spans="1:1" x14ac:dyDescent="0.3">
      <c r="A198" s="19"/>
    </row>
    <row r="199" spans="1:1" x14ac:dyDescent="0.3">
      <c r="A199" s="19"/>
    </row>
    <row r="200" spans="1:1" x14ac:dyDescent="0.3">
      <c r="A200" s="19"/>
    </row>
    <row r="201" spans="1:1" x14ac:dyDescent="0.3">
      <c r="A201" s="19"/>
    </row>
    <row r="202" spans="1:1" x14ac:dyDescent="0.3">
      <c r="A202" s="19"/>
    </row>
    <row r="203" spans="1:1" x14ac:dyDescent="0.3">
      <c r="A203" s="19"/>
    </row>
    <row r="204" spans="1:1" x14ac:dyDescent="0.3">
      <c r="A204" s="19"/>
    </row>
    <row r="205" spans="1:1" x14ac:dyDescent="0.3">
      <c r="A205" s="19"/>
    </row>
    <row r="206" spans="1:1" x14ac:dyDescent="0.3">
      <c r="A206" s="19"/>
    </row>
    <row r="207" spans="1:1" x14ac:dyDescent="0.3">
      <c r="A207" s="19"/>
    </row>
    <row r="208" spans="1:1" x14ac:dyDescent="0.3">
      <c r="A208" s="19"/>
    </row>
    <row r="209" spans="1:1" x14ac:dyDescent="0.3">
      <c r="A209" s="19"/>
    </row>
    <row r="210" spans="1:1" x14ac:dyDescent="0.3">
      <c r="A210" s="19"/>
    </row>
    <row r="211" spans="1:1" x14ac:dyDescent="0.3">
      <c r="A211" s="19"/>
    </row>
    <row r="212" spans="1:1" x14ac:dyDescent="0.3">
      <c r="A212" s="19"/>
    </row>
    <row r="213" spans="1:1" x14ac:dyDescent="0.3">
      <c r="A213" s="19"/>
    </row>
    <row r="214" spans="1:1" x14ac:dyDescent="0.3">
      <c r="A214" s="19"/>
    </row>
    <row r="215" spans="1:1" x14ac:dyDescent="0.3">
      <c r="A215" s="19"/>
    </row>
    <row r="216" spans="1:1" x14ac:dyDescent="0.3">
      <c r="A216" s="19"/>
    </row>
    <row r="217" spans="1:1" x14ac:dyDescent="0.3">
      <c r="A217" s="19"/>
    </row>
    <row r="218" spans="1:1" x14ac:dyDescent="0.3">
      <c r="A218" s="19"/>
    </row>
    <row r="219" spans="1:1" x14ac:dyDescent="0.3">
      <c r="A219" s="19"/>
    </row>
    <row r="220" spans="1:1" x14ac:dyDescent="0.3">
      <c r="A220" s="19"/>
    </row>
    <row r="221" spans="1:1" x14ac:dyDescent="0.3">
      <c r="A221" s="19"/>
    </row>
    <row r="222" spans="1:1" x14ac:dyDescent="0.3">
      <c r="A222" s="19"/>
    </row>
    <row r="223" spans="1:1" x14ac:dyDescent="0.3">
      <c r="A223" s="19"/>
    </row>
    <row r="224" spans="1:1" x14ac:dyDescent="0.3">
      <c r="A224" s="19"/>
    </row>
    <row r="225" spans="1:1" x14ac:dyDescent="0.3">
      <c r="A225" s="19"/>
    </row>
    <row r="226" spans="1:1" x14ac:dyDescent="0.3">
      <c r="A226" s="19"/>
    </row>
    <row r="227" spans="1:1" x14ac:dyDescent="0.3">
      <c r="A227" s="19"/>
    </row>
    <row r="228" spans="1:1" x14ac:dyDescent="0.3">
      <c r="A228" s="19"/>
    </row>
    <row r="229" spans="1:1" x14ac:dyDescent="0.3">
      <c r="A229" s="19"/>
    </row>
    <row r="230" spans="1:1" x14ac:dyDescent="0.3">
      <c r="A230" s="19"/>
    </row>
    <row r="231" spans="1:1" x14ac:dyDescent="0.3">
      <c r="A231" s="19"/>
    </row>
    <row r="232" spans="1:1" x14ac:dyDescent="0.3">
      <c r="A232" s="19"/>
    </row>
    <row r="233" spans="1:1" x14ac:dyDescent="0.3">
      <c r="A233" s="19"/>
    </row>
    <row r="234" spans="1:1" x14ac:dyDescent="0.3">
      <c r="A234" s="19"/>
    </row>
    <row r="235" spans="1:1" x14ac:dyDescent="0.3">
      <c r="A235" s="19"/>
    </row>
    <row r="236" spans="1:1" x14ac:dyDescent="0.3">
      <c r="A236" s="19"/>
    </row>
    <row r="237" spans="1:1" x14ac:dyDescent="0.3">
      <c r="A237" s="19"/>
    </row>
    <row r="238" spans="1:1" x14ac:dyDescent="0.3">
      <c r="A238" s="19"/>
    </row>
    <row r="239" spans="1:1" x14ac:dyDescent="0.3">
      <c r="A239" s="19"/>
    </row>
    <row r="240" spans="1:1" x14ac:dyDescent="0.3">
      <c r="A240" s="19"/>
    </row>
    <row r="241" spans="1:1" x14ac:dyDescent="0.3">
      <c r="A241" s="19"/>
    </row>
    <row r="242" spans="1:1" x14ac:dyDescent="0.3">
      <c r="A242" s="19"/>
    </row>
    <row r="243" spans="1:1" x14ac:dyDescent="0.3">
      <c r="A243" s="19"/>
    </row>
    <row r="244" spans="1:1" x14ac:dyDescent="0.3">
      <c r="A244" s="19"/>
    </row>
    <row r="245" spans="1:1" x14ac:dyDescent="0.3">
      <c r="A245" s="19"/>
    </row>
    <row r="246" spans="1:1" x14ac:dyDescent="0.3">
      <c r="A246" s="19"/>
    </row>
    <row r="247" spans="1:1" x14ac:dyDescent="0.3">
      <c r="A247" s="19"/>
    </row>
    <row r="248" spans="1:1" x14ac:dyDescent="0.3">
      <c r="A248" s="19"/>
    </row>
    <row r="249" spans="1:1" x14ac:dyDescent="0.3">
      <c r="A249" s="19"/>
    </row>
    <row r="250" spans="1:1" x14ac:dyDescent="0.3">
      <c r="A250" s="19"/>
    </row>
    <row r="251" spans="1:1" x14ac:dyDescent="0.3">
      <c r="A251" s="19"/>
    </row>
    <row r="252" spans="1:1" x14ac:dyDescent="0.3">
      <c r="A252" s="19"/>
    </row>
    <row r="253" spans="1:1" x14ac:dyDescent="0.3">
      <c r="A253" s="19"/>
    </row>
    <row r="254" spans="1:1" x14ac:dyDescent="0.3">
      <c r="A254" s="19"/>
    </row>
    <row r="255" spans="1:1" x14ac:dyDescent="0.3">
      <c r="A255" s="19"/>
    </row>
    <row r="256" spans="1:1" x14ac:dyDescent="0.3">
      <c r="A256" s="19"/>
    </row>
    <row r="257" spans="1:1" x14ac:dyDescent="0.3">
      <c r="A257" s="19"/>
    </row>
    <row r="258" spans="1:1" x14ac:dyDescent="0.3">
      <c r="A258" s="19"/>
    </row>
    <row r="259" spans="1:1" x14ac:dyDescent="0.3">
      <c r="A259" s="19"/>
    </row>
    <row r="260" spans="1:1" x14ac:dyDescent="0.3">
      <c r="A260" s="19"/>
    </row>
    <row r="261" spans="1:1" x14ac:dyDescent="0.3">
      <c r="A261" s="19"/>
    </row>
    <row r="262" spans="1:1" x14ac:dyDescent="0.3">
      <c r="A262" s="19"/>
    </row>
    <row r="263" spans="1:1" x14ac:dyDescent="0.3">
      <c r="A263" s="19"/>
    </row>
    <row r="264" spans="1:1" x14ac:dyDescent="0.3">
      <c r="A264" s="19"/>
    </row>
    <row r="265" spans="1:1" x14ac:dyDescent="0.3">
      <c r="A265" s="19"/>
    </row>
    <row r="266" spans="1:1" x14ac:dyDescent="0.3">
      <c r="A266" s="19"/>
    </row>
    <row r="267" spans="1:1" x14ac:dyDescent="0.3">
      <c r="A267" s="19"/>
    </row>
    <row r="268" spans="1:1" x14ac:dyDescent="0.3">
      <c r="A268" s="19"/>
    </row>
    <row r="269" spans="1:1" x14ac:dyDescent="0.3">
      <c r="A269" s="19"/>
    </row>
    <row r="270" spans="1:1" x14ac:dyDescent="0.3">
      <c r="A270" s="19"/>
    </row>
    <row r="271" spans="1:1" x14ac:dyDescent="0.3">
      <c r="A271" s="19"/>
    </row>
    <row r="272" spans="1:1" x14ac:dyDescent="0.3">
      <c r="A272" s="19"/>
    </row>
    <row r="273" spans="1:1" x14ac:dyDescent="0.3">
      <c r="A273" s="19"/>
    </row>
    <row r="274" spans="1:1" x14ac:dyDescent="0.3">
      <c r="A274" s="19"/>
    </row>
    <row r="275" spans="1:1" x14ac:dyDescent="0.3">
      <c r="A275" s="19"/>
    </row>
    <row r="276" spans="1:1" x14ac:dyDescent="0.3">
      <c r="A276" s="19"/>
    </row>
    <row r="277" spans="1:1" x14ac:dyDescent="0.3">
      <c r="A277" s="19"/>
    </row>
    <row r="278" spans="1:1" x14ac:dyDescent="0.3">
      <c r="A278" s="19"/>
    </row>
    <row r="279" spans="1:1" x14ac:dyDescent="0.3">
      <c r="A279" s="19"/>
    </row>
    <row r="280" spans="1:1" x14ac:dyDescent="0.3">
      <c r="A280" s="19"/>
    </row>
    <row r="281" spans="1:1" x14ac:dyDescent="0.3">
      <c r="A281" s="19"/>
    </row>
    <row r="282" spans="1:1" x14ac:dyDescent="0.3">
      <c r="A282" s="19"/>
    </row>
    <row r="283" spans="1:1" x14ac:dyDescent="0.3">
      <c r="A283" s="19"/>
    </row>
    <row r="284" spans="1:1" x14ac:dyDescent="0.3">
      <c r="A284" s="19"/>
    </row>
    <row r="285" spans="1:1" x14ac:dyDescent="0.3">
      <c r="A285" s="19"/>
    </row>
    <row r="286" spans="1:1" x14ac:dyDescent="0.3">
      <c r="A286" s="19"/>
    </row>
    <row r="287" spans="1:1" x14ac:dyDescent="0.3">
      <c r="A287" s="19"/>
    </row>
    <row r="288" spans="1:1" x14ac:dyDescent="0.3">
      <c r="A288" s="19"/>
    </row>
    <row r="289" spans="1:1" x14ac:dyDescent="0.3">
      <c r="A289" s="19"/>
    </row>
    <row r="290" spans="1:1" x14ac:dyDescent="0.3">
      <c r="A290" s="19"/>
    </row>
    <row r="291" spans="1:1" x14ac:dyDescent="0.3">
      <c r="A291" s="19"/>
    </row>
    <row r="292" spans="1:1" x14ac:dyDescent="0.3">
      <c r="A292" s="19"/>
    </row>
    <row r="293" spans="1:1" x14ac:dyDescent="0.3">
      <c r="A293" s="19"/>
    </row>
    <row r="294" spans="1:1" x14ac:dyDescent="0.3">
      <c r="A294" s="19"/>
    </row>
    <row r="295" spans="1:1" x14ac:dyDescent="0.3">
      <c r="A295" s="19"/>
    </row>
    <row r="296" spans="1:1" x14ac:dyDescent="0.3">
      <c r="A296" s="19"/>
    </row>
    <row r="297" spans="1:1" x14ac:dyDescent="0.3">
      <c r="A297" s="19"/>
    </row>
    <row r="298" spans="1:1" x14ac:dyDescent="0.3">
      <c r="A298" s="19"/>
    </row>
    <row r="299" spans="1:1" x14ac:dyDescent="0.3">
      <c r="A299" s="19"/>
    </row>
    <row r="300" spans="1:1" x14ac:dyDescent="0.3">
      <c r="A300" s="19"/>
    </row>
    <row r="301" spans="1:1" x14ac:dyDescent="0.3">
      <c r="A301" s="19"/>
    </row>
    <row r="302" spans="1:1" x14ac:dyDescent="0.3">
      <c r="A302" s="19"/>
    </row>
    <row r="303" spans="1:1" x14ac:dyDescent="0.3">
      <c r="A303" s="19"/>
    </row>
    <row r="304" spans="1:1" x14ac:dyDescent="0.3">
      <c r="A304" s="19"/>
    </row>
    <row r="305" spans="1:1" x14ac:dyDescent="0.3">
      <c r="A305" s="19"/>
    </row>
    <row r="306" spans="1:1" x14ac:dyDescent="0.3">
      <c r="A306" s="19"/>
    </row>
    <row r="307" spans="1:1" x14ac:dyDescent="0.3">
      <c r="A307" s="19"/>
    </row>
    <row r="308" spans="1:1" x14ac:dyDescent="0.3">
      <c r="A308" s="19"/>
    </row>
    <row r="309" spans="1:1" x14ac:dyDescent="0.3">
      <c r="A309" s="19"/>
    </row>
    <row r="310" spans="1:1" x14ac:dyDescent="0.3">
      <c r="A310" s="19"/>
    </row>
    <row r="311" spans="1:1" x14ac:dyDescent="0.3">
      <c r="A311" s="19"/>
    </row>
    <row r="312" spans="1:1" x14ac:dyDescent="0.3">
      <c r="A312" s="19"/>
    </row>
    <row r="313" spans="1:1" x14ac:dyDescent="0.3">
      <c r="A313" s="19"/>
    </row>
    <row r="314" spans="1:1" x14ac:dyDescent="0.3">
      <c r="A314" s="19"/>
    </row>
    <row r="315" spans="1:1" x14ac:dyDescent="0.3">
      <c r="A315" s="19"/>
    </row>
    <row r="316" spans="1:1" x14ac:dyDescent="0.3">
      <c r="A316" s="19"/>
    </row>
    <row r="317" spans="1:1" x14ac:dyDescent="0.3">
      <c r="A317" s="19"/>
    </row>
    <row r="318" spans="1:1" x14ac:dyDescent="0.3">
      <c r="A318" s="19"/>
    </row>
    <row r="319" spans="1:1" x14ac:dyDescent="0.3">
      <c r="A319" s="19"/>
    </row>
    <row r="320" spans="1:1" x14ac:dyDescent="0.3">
      <c r="A320" s="19"/>
    </row>
    <row r="321" spans="1:1" x14ac:dyDescent="0.3">
      <c r="A321" s="19"/>
    </row>
    <row r="322" spans="1:1" x14ac:dyDescent="0.3">
      <c r="A322" s="19"/>
    </row>
    <row r="323" spans="1:1" x14ac:dyDescent="0.3">
      <c r="A323" s="19"/>
    </row>
    <row r="324" spans="1:1" x14ac:dyDescent="0.3">
      <c r="A324" s="19"/>
    </row>
    <row r="325" spans="1:1" x14ac:dyDescent="0.3">
      <c r="A325" s="19"/>
    </row>
    <row r="326" spans="1:1" x14ac:dyDescent="0.3">
      <c r="A326" s="19"/>
    </row>
    <row r="327" spans="1:1" x14ac:dyDescent="0.3">
      <c r="A327" s="19"/>
    </row>
    <row r="328" spans="1:1" x14ac:dyDescent="0.3">
      <c r="A328" s="19"/>
    </row>
    <row r="329" spans="1:1" x14ac:dyDescent="0.3">
      <c r="A329" s="19"/>
    </row>
    <row r="330" spans="1:1" x14ac:dyDescent="0.3">
      <c r="A330" s="19"/>
    </row>
    <row r="331" spans="1:1" x14ac:dyDescent="0.3">
      <c r="A331" s="19"/>
    </row>
    <row r="332" spans="1:1" x14ac:dyDescent="0.3">
      <c r="A332" s="19"/>
    </row>
    <row r="333" spans="1:1" x14ac:dyDescent="0.3">
      <c r="A333" s="19"/>
    </row>
    <row r="334" spans="1:1" x14ac:dyDescent="0.3">
      <c r="A334" s="19"/>
    </row>
    <row r="335" spans="1:1" x14ac:dyDescent="0.3">
      <c r="A335" s="19"/>
    </row>
    <row r="336" spans="1:1" x14ac:dyDescent="0.3">
      <c r="A336" s="19"/>
    </row>
    <row r="337" spans="1:1" x14ac:dyDescent="0.3">
      <c r="A337" s="19"/>
    </row>
    <row r="338" spans="1:1" x14ac:dyDescent="0.3">
      <c r="A338" s="19"/>
    </row>
    <row r="339" spans="1:1" x14ac:dyDescent="0.3">
      <c r="A339" s="19"/>
    </row>
    <row r="340" spans="1:1" x14ac:dyDescent="0.3">
      <c r="A340" s="19"/>
    </row>
    <row r="341" spans="1:1" x14ac:dyDescent="0.3">
      <c r="A341" s="19"/>
    </row>
    <row r="342" spans="1:1" x14ac:dyDescent="0.3">
      <c r="A342" s="19"/>
    </row>
    <row r="343" spans="1:1" x14ac:dyDescent="0.3">
      <c r="A343" s="19"/>
    </row>
    <row r="344" spans="1:1" x14ac:dyDescent="0.3">
      <c r="A344" s="19"/>
    </row>
    <row r="345" spans="1:1" x14ac:dyDescent="0.3">
      <c r="A345" s="19"/>
    </row>
    <row r="346" spans="1:1" x14ac:dyDescent="0.3">
      <c r="A346" s="19"/>
    </row>
    <row r="347" spans="1:1" x14ac:dyDescent="0.3">
      <c r="A347" s="19"/>
    </row>
    <row r="348" spans="1:1" x14ac:dyDescent="0.3">
      <c r="A348" s="19"/>
    </row>
    <row r="349" spans="1:1" x14ac:dyDescent="0.3">
      <c r="A349" s="19"/>
    </row>
    <row r="350" spans="1:1" x14ac:dyDescent="0.3">
      <c r="A350" s="19"/>
    </row>
    <row r="351" spans="1:1" x14ac:dyDescent="0.3">
      <c r="A351" s="19"/>
    </row>
    <row r="352" spans="1:1" x14ac:dyDescent="0.3">
      <c r="A352" s="19"/>
    </row>
    <row r="353" spans="1:1" x14ac:dyDescent="0.3">
      <c r="A353" s="19"/>
    </row>
    <row r="354" spans="1:1" x14ac:dyDescent="0.3">
      <c r="A354" s="19"/>
    </row>
    <row r="355" spans="1:1" x14ac:dyDescent="0.3">
      <c r="A355" s="19"/>
    </row>
    <row r="356" spans="1:1" x14ac:dyDescent="0.3">
      <c r="A356" s="19"/>
    </row>
    <row r="357" spans="1:1" x14ac:dyDescent="0.3">
      <c r="A357" s="19"/>
    </row>
    <row r="358" spans="1:1" x14ac:dyDescent="0.3">
      <c r="A358" s="19"/>
    </row>
    <row r="359" spans="1:1" x14ac:dyDescent="0.3">
      <c r="A359" s="19"/>
    </row>
    <row r="360" spans="1:1" x14ac:dyDescent="0.3">
      <c r="A360" s="19"/>
    </row>
    <row r="361" spans="1:1" x14ac:dyDescent="0.3">
      <c r="A361" s="19"/>
    </row>
    <row r="362" spans="1:1" x14ac:dyDescent="0.3">
      <c r="A362" s="19"/>
    </row>
    <row r="363" spans="1:1" x14ac:dyDescent="0.3">
      <c r="A363" s="19"/>
    </row>
    <row r="364" spans="1:1" x14ac:dyDescent="0.3">
      <c r="A364" s="19"/>
    </row>
    <row r="365" spans="1:1" x14ac:dyDescent="0.3">
      <c r="A365" s="19"/>
    </row>
    <row r="366" spans="1:1" x14ac:dyDescent="0.3">
      <c r="A366" s="19"/>
    </row>
    <row r="367" spans="1:1" x14ac:dyDescent="0.3">
      <c r="A367" s="19"/>
    </row>
    <row r="368" spans="1:1" x14ac:dyDescent="0.3">
      <c r="A368" s="19"/>
    </row>
    <row r="369" spans="1:1" x14ac:dyDescent="0.3">
      <c r="A369" s="19"/>
    </row>
    <row r="370" spans="1:1" x14ac:dyDescent="0.3">
      <c r="A370" s="19"/>
    </row>
    <row r="371" spans="1:1" x14ac:dyDescent="0.3">
      <c r="A371" s="19"/>
    </row>
    <row r="372" spans="1:1" x14ac:dyDescent="0.3">
      <c r="A372" s="19"/>
    </row>
    <row r="373" spans="1:1" x14ac:dyDescent="0.3">
      <c r="A373" s="19"/>
    </row>
    <row r="374" spans="1:1" x14ac:dyDescent="0.3">
      <c r="A374" s="19"/>
    </row>
    <row r="375" spans="1:1" x14ac:dyDescent="0.3">
      <c r="A375" s="19"/>
    </row>
    <row r="376" spans="1:1" x14ac:dyDescent="0.3">
      <c r="A376" s="19"/>
    </row>
    <row r="377" spans="1:1" x14ac:dyDescent="0.3">
      <c r="A377" s="19"/>
    </row>
    <row r="378" spans="1:1" x14ac:dyDescent="0.3">
      <c r="A378" s="19"/>
    </row>
    <row r="379" spans="1:1" x14ac:dyDescent="0.3">
      <c r="A379" s="19"/>
    </row>
    <row r="380" spans="1:1" x14ac:dyDescent="0.3">
      <c r="A380" s="19"/>
    </row>
    <row r="381" spans="1:1" x14ac:dyDescent="0.3">
      <c r="A381" s="19"/>
    </row>
    <row r="382" spans="1:1" x14ac:dyDescent="0.3">
      <c r="A382" s="19"/>
    </row>
    <row r="383" spans="1:1" x14ac:dyDescent="0.3">
      <c r="A383" s="19"/>
    </row>
    <row r="384" spans="1:1" x14ac:dyDescent="0.3">
      <c r="A384" s="19"/>
    </row>
    <row r="385" spans="1:1" x14ac:dyDescent="0.3">
      <c r="A385" s="19"/>
    </row>
    <row r="386" spans="1:1" x14ac:dyDescent="0.3">
      <c r="A386" s="19"/>
    </row>
    <row r="387" spans="1:1" x14ac:dyDescent="0.3">
      <c r="A387" s="19"/>
    </row>
    <row r="388" spans="1:1" x14ac:dyDescent="0.3">
      <c r="A388" s="19"/>
    </row>
    <row r="389" spans="1:1" x14ac:dyDescent="0.3">
      <c r="A389" s="19"/>
    </row>
    <row r="390" spans="1:1" x14ac:dyDescent="0.3">
      <c r="A390" s="19"/>
    </row>
    <row r="391" spans="1:1" x14ac:dyDescent="0.3">
      <c r="A391" s="19"/>
    </row>
    <row r="392" spans="1:1" x14ac:dyDescent="0.3">
      <c r="A392" s="19"/>
    </row>
    <row r="393" spans="1:1" x14ac:dyDescent="0.3">
      <c r="A393" s="19"/>
    </row>
    <row r="394" spans="1:1" x14ac:dyDescent="0.3">
      <c r="A394" s="19"/>
    </row>
    <row r="395" spans="1:1" x14ac:dyDescent="0.3">
      <c r="A395" s="19"/>
    </row>
    <row r="396" spans="1:1" x14ac:dyDescent="0.3">
      <c r="A396" s="19"/>
    </row>
    <row r="397" spans="1:1" x14ac:dyDescent="0.3">
      <c r="A397" s="19"/>
    </row>
    <row r="398" spans="1:1" x14ac:dyDescent="0.3">
      <c r="A398" s="19"/>
    </row>
    <row r="399" spans="1:1" x14ac:dyDescent="0.3">
      <c r="A399" s="19"/>
    </row>
    <row r="400" spans="1:1" x14ac:dyDescent="0.3">
      <c r="A400" s="19"/>
    </row>
    <row r="401" spans="1:1" x14ac:dyDescent="0.3">
      <c r="A401" s="19"/>
    </row>
    <row r="402" spans="1:1" x14ac:dyDescent="0.3">
      <c r="A402" s="19"/>
    </row>
    <row r="403" spans="1:1" x14ac:dyDescent="0.3">
      <c r="A403" s="19"/>
    </row>
    <row r="404" spans="1:1" x14ac:dyDescent="0.3">
      <c r="A404" s="19"/>
    </row>
    <row r="405" spans="1:1" x14ac:dyDescent="0.3">
      <c r="A405" s="19"/>
    </row>
    <row r="406" spans="1:1" x14ac:dyDescent="0.3">
      <c r="A406" s="19"/>
    </row>
    <row r="407" spans="1:1" x14ac:dyDescent="0.3">
      <c r="A407" s="19"/>
    </row>
    <row r="408" spans="1:1" x14ac:dyDescent="0.3">
      <c r="A408" s="19"/>
    </row>
    <row r="409" spans="1:1" x14ac:dyDescent="0.3">
      <c r="A409" s="19"/>
    </row>
    <row r="410" spans="1:1" x14ac:dyDescent="0.3">
      <c r="A410" s="19"/>
    </row>
    <row r="411" spans="1:1" x14ac:dyDescent="0.3">
      <c r="A411" s="19"/>
    </row>
    <row r="412" spans="1:1" x14ac:dyDescent="0.3">
      <c r="A412" s="19"/>
    </row>
    <row r="413" spans="1:1" x14ac:dyDescent="0.3">
      <c r="A413" s="19"/>
    </row>
    <row r="414" spans="1:1" x14ac:dyDescent="0.3">
      <c r="A414" s="19"/>
    </row>
    <row r="415" spans="1:1" x14ac:dyDescent="0.3">
      <c r="A415" s="19"/>
    </row>
    <row r="416" spans="1:1" x14ac:dyDescent="0.3">
      <c r="A416" s="19"/>
    </row>
    <row r="417" spans="1:1" x14ac:dyDescent="0.3">
      <c r="A417" s="19"/>
    </row>
    <row r="418" spans="1:1" x14ac:dyDescent="0.3">
      <c r="A418" s="19"/>
    </row>
    <row r="419" spans="1:1" x14ac:dyDescent="0.3">
      <c r="A419" s="19"/>
    </row>
    <row r="420" spans="1:1" x14ac:dyDescent="0.3">
      <c r="A420" s="19"/>
    </row>
    <row r="421" spans="1:1" x14ac:dyDescent="0.3">
      <c r="A421" s="19"/>
    </row>
    <row r="422" spans="1:1" x14ac:dyDescent="0.3">
      <c r="A422" s="19"/>
    </row>
    <row r="423" spans="1:1" x14ac:dyDescent="0.3">
      <c r="A423" s="19"/>
    </row>
    <row r="424" spans="1:1" x14ac:dyDescent="0.3">
      <c r="A424" s="19"/>
    </row>
    <row r="425" spans="1:1" x14ac:dyDescent="0.3">
      <c r="A425" s="19"/>
    </row>
    <row r="426" spans="1:1" x14ac:dyDescent="0.3">
      <c r="A426" s="19"/>
    </row>
    <row r="427" spans="1:1" x14ac:dyDescent="0.3">
      <c r="A427" s="19"/>
    </row>
    <row r="428" spans="1:1" x14ac:dyDescent="0.3">
      <c r="A428" s="19"/>
    </row>
    <row r="429" spans="1:1" x14ac:dyDescent="0.3">
      <c r="A429" s="19"/>
    </row>
    <row r="430" spans="1:1" x14ac:dyDescent="0.3">
      <c r="A430" s="19"/>
    </row>
    <row r="431" spans="1:1" x14ac:dyDescent="0.3">
      <c r="A431" s="19"/>
    </row>
    <row r="432" spans="1:1" x14ac:dyDescent="0.3">
      <c r="A432" s="19"/>
    </row>
    <row r="433" spans="1:1" x14ac:dyDescent="0.3">
      <c r="A433" s="19"/>
    </row>
    <row r="434" spans="1:1" x14ac:dyDescent="0.3">
      <c r="A434" s="19"/>
    </row>
    <row r="435" spans="1:1" x14ac:dyDescent="0.3">
      <c r="A435" s="19"/>
    </row>
    <row r="436" spans="1:1" x14ac:dyDescent="0.3">
      <c r="A436" s="19"/>
    </row>
    <row r="437" spans="1:1" x14ac:dyDescent="0.3">
      <c r="A437" s="19"/>
    </row>
    <row r="438" spans="1:1" x14ac:dyDescent="0.3">
      <c r="A438" s="19"/>
    </row>
    <row r="439" spans="1:1" x14ac:dyDescent="0.3">
      <c r="A439" s="19"/>
    </row>
    <row r="440" spans="1:1" x14ac:dyDescent="0.3">
      <c r="A440" s="19"/>
    </row>
    <row r="441" spans="1:1" x14ac:dyDescent="0.3">
      <c r="A441" s="19"/>
    </row>
    <row r="442" spans="1:1" x14ac:dyDescent="0.3">
      <c r="A442" s="19"/>
    </row>
    <row r="443" spans="1:1" x14ac:dyDescent="0.3">
      <c r="A443" s="19"/>
    </row>
    <row r="444" spans="1:1" x14ac:dyDescent="0.3">
      <c r="A444" s="19"/>
    </row>
    <row r="445" spans="1:1" x14ac:dyDescent="0.3">
      <c r="A445" s="19"/>
    </row>
    <row r="446" spans="1:1" x14ac:dyDescent="0.3">
      <c r="A446" s="19"/>
    </row>
    <row r="447" spans="1:1" x14ac:dyDescent="0.3">
      <c r="A447" s="19"/>
    </row>
    <row r="448" spans="1:1" x14ac:dyDescent="0.3">
      <c r="A448" s="19"/>
    </row>
    <row r="449" spans="1:1" x14ac:dyDescent="0.3">
      <c r="A449" s="19"/>
    </row>
    <row r="450" spans="1:1" x14ac:dyDescent="0.3">
      <c r="A450" s="19"/>
    </row>
    <row r="451" spans="1:1" x14ac:dyDescent="0.3">
      <c r="A451" s="19"/>
    </row>
    <row r="452" spans="1:1" x14ac:dyDescent="0.3">
      <c r="A452" s="19"/>
    </row>
    <row r="453" spans="1:1" x14ac:dyDescent="0.3">
      <c r="A453" s="19"/>
    </row>
    <row r="454" spans="1:1" x14ac:dyDescent="0.3">
      <c r="A454" s="19"/>
    </row>
    <row r="455" spans="1:1" x14ac:dyDescent="0.3">
      <c r="A455" s="19"/>
    </row>
    <row r="456" spans="1:1" x14ac:dyDescent="0.3">
      <c r="A456" s="19"/>
    </row>
    <row r="457" spans="1:1" x14ac:dyDescent="0.3">
      <c r="A457" s="19"/>
    </row>
    <row r="458" spans="1:1" x14ac:dyDescent="0.3">
      <c r="A458" s="19"/>
    </row>
    <row r="459" spans="1:1" x14ac:dyDescent="0.3">
      <c r="A459" s="19"/>
    </row>
    <row r="460" spans="1:1" x14ac:dyDescent="0.3">
      <c r="A460" s="19"/>
    </row>
    <row r="461" spans="1:1" x14ac:dyDescent="0.3">
      <c r="A461" s="19"/>
    </row>
    <row r="462" spans="1:1" x14ac:dyDescent="0.3">
      <c r="A462" s="19"/>
    </row>
    <row r="463" spans="1:1" x14ac:dyDescent="0.3">
      <c r="A463" s="19"/>
    </row>
    <row r="464" spans="1:1" x14ac:dyDescent="0.3">
      <c r="A464" s="19"/>
    </row>
    <row r="465" spans="1:1" x14ac:dyDescent="0.3">
      <c r="A465" s="19"/>
    </row>
    <row r="466" spans="1:1" x14ac:dyDescent="0.3">
      <c r="A466" s="19"/>
    </row>
    <row r="467" spans="1:1" x14ac:dyDescent="0.3">
      <c r="A467" s="19"/>
    </row>
    <row r="468" spans="1:1" x14ac:dyDescent="0.3">
      <c r="A468" s="19"/>
    </row>
    <row r="469" spans="1:1" x14ac:dyDescent="0.3">
      <c r="A469" s="19"/>
    </row>
    <row r="470" spans="1:1" x14ac:dyDescent="0.3">
      <c r="A470" s="19"/>
    </row>
    <row r="471" spans="1:1" x14ac:dyDescent="0.3">
      <c r="A471" s="19"/>
    </row>
    <row r="472" spans="1:1" x14ac:dyDescent="0.3">
      <c r="A472" s="19"/>
    </row>
    <row r="473" spans="1:1" x14ac:dyDescent="0.3">
      <c r="A473" s="19"/>
    </row>
    <row r="474" spans="1:1" x14ac:dyDescent="0.3">
      <c r="A474" s="19"/>
    </row>
    <row r="475" spans="1:1" x14ac:dyDescent="0.3">
      <c r="A475" s="19"/>
    </row>
    <row r="476" spans="1:1" x14ac:dyDescent="0.3">
      <c r="A476" s="19"/>
    </row>
    <row r="477" spans="1:1" x14ac:dyDescent="0.3">
      <c r="A477" s="19"/>
    </row>
    <row r="478" spans="1:1" x14ac:dyDescent="0.3">
      <c r="A478" s="19"/>
    </row>
    <row r="479" spans="1:1" x14ac:dyDescent="0.3">
      <c r="A479" s="19"/>
    </row>
    <row r="480" spans="1:1" x14ac:dyDescent="0.3">
      <c r="A480" s="19"/>
    </row>
    <row r="481" spans="1:1" x14ac:dyDescent="0.3">
      <c r="A481" s="19"/>
    </row>
    <row r="482" spans="1:1" x14ac:dyDescent="0.3">
      <c r="A482" s="19"/>
    </row>
    <row r="483" spans="1:1" x14ac:dyDescent="0.3">
      <c r="A483" s="19"/>
    </row>
    <row r="484" spans="1:1" x14ac:dyDescent="0.3">
      <c r="A484" s="19"/>
    </row>
    <row r="485" spans="1:1" x14ac:dyDescent="0.3">
      <c r="A485" s="19"/>
    </row>
    <row r="486" spans="1:1" x14ac:dyDescent="0.3">
      <c r="A486" s="19"/>
    </row>
    <row r="487" spans="1:1" x14ac:dyDescent="0.3">
      <c r="A487" s="19"/>
    </row>
    <row r="488" spans="1:1" x14ac:dyDescent="0.3">
      <c r="A488" s="19"/>
    </row>
    <row r="489" spans="1:1" x14ac:dyDescent="0.3">
      <c r="A489" s="19"/>
    </row>
    <row r="490" spans="1:1" x14ac:dyDescent="0.3">
      <c r="A490" s="19"/>
    </row>
    <row r="491" spans="1:1" x14ac:dyDescent="0.3">
      <c r="A491" s="19"/>
    </row>
    <row r="492" spans="1:1" x14ac:dyDescent="0.3">
      <c r="A492" s="19"/>
    </row>
    <row r="493" spans="1:1" x14ac:dyDescent="0.3">
      <c r="A493" s="19"/>
    </row>
    <row r="494" spans="1:1" x14ac:dyDescent="0.3">
      <c r="A494" s="19"/>
    </row>
    <row r="495" spans="1:1" x14ac:dyDescent="0.3">
      <c r="A495" s="19"/>
    </row>
    <row r="496" spans="1:1" x14ac:dyDescent="0.3">
      <c r="A496" s="19"/>
    </row>
    <row r="497" spans="1:1" x14ac:dyDescent="0.3">
      <c r="A497" s="19"/>
    </row>
    <row r="498" spans="1:1" x14ac:dyDescent="0.3">
      <c r="A498" s="19"/>
    </row>
    <row r="499" spans="1:1" x14ac:dyDescent="0.3">
      <c r="A499" s="19"/>
    </row>
    <row r="500" spans="1:1" x14ac:dyDescent="0.3">
      <c r="A500" s="19"/>
    </row>
    <row r="501" spans="1:1" x14ac:dyDescent="0.3">
      <c r="A501" s="19"/>
    </row>
    <row r="502" spans="1:1" x14ac:dyDescent="0.3">
      <c r="A502" s="19"/>
    </row>
    <row r="503" spans="1:1" x14ac:dyDescent="0.3">
      <c r="A503" s="19"/>
    </row>
    <row r="504" spans="1:1" x14ac:dyDescent="0.3">
      <c r="A504" s="19"/>
    </row>
    <row r="505" spans="1:1" x14ac:dyDescent="0.3">
      <c r="A505" s="19"/>
    </row>
    <row r="506" spans="1:1" x14ac:dyDescent="0.3">
      <c r="A506" s="19"/>
    </row>
    <row r="507" spans="1:1" x14ac:dyDescent="0.3">
      <c r="A507" s="19"/>
    </row>
    <row r="508" spans="1:1" x14ac:dyDescent="0.3">
      <c r="A508" s="19"/>
    </row>
    <row r="509" spans="1:1" x14ac:dyDescent="0.3">
      <c r="A509" s="19"/>
    </row>
    <row r="510" spans="1:1" x14ac:dyDescent="0.3">
      <c r="A510" s="19"/>
    </row>
    <row r="511" spans="1:1" x14ac:dyDescent="0.3">
      <c r="A511" s="19"/>
    </row>
    <row r="512" spans="1:1" x14ac:dyDescent="0.3">
      <c r="A512" s="19"/>
    </row>
    <row r="513" spans="1:1" x14ac:dyDescent="0.3">
      <c r="A513" s="19"/>
    </row>
    <row r="514" spans="1:1" x14ac:dyDescent="0.3">
      <c r="A514" s="19"/>
    </row>
    <row r="515" spans="1:1" x14ac:dyDescent="0.3">
      <c r="A515" s="19"/>
    </row>
    <row r="516" spans="1:1" x14ac:dyDescent="0.3">
      <c r="A516" s="19"/>
    </row>
    <row r="517" spans="1:1" x14ac:dyDescent="0.3">
      <c r="A517" s="19"/>
    </row>
    <row r="518" spans="1:1" x14ac:dyDescent="0.3">
      <c r="A518" s="19"/>
    </row>
    <row r="519" spans="1:1" x14ac:dyDescent="0.3">
      <c r="A519" s="19"/>
    </row>
    <row r="520" spans="1:1" x14ac:dyDescent="0.3">
      <c r="A520" s="19"/>
    </row>
    <row r="521" spans="1:1" x14ac:dyDescent="0.3">
      <c r="A521" s="19"/>
    </row>
    <row r="522" spans="1:1" x14ac:dyDescent="0.3">
      <c r="A522" s="19"/>
    </row>
    <row r="523" spans="1:1" x14ac:dyDescent="0.3">
      <c r="A523" s="19"/>
    </row>
    <row r="524" spans="1:1" x14ac:dyDescent="0.3">
      <c r="A524" s="19"/>
    </row>
    <row r="525" spans="1:1" x14ac:dyDescent="0.3">
      <c r="A525" s="19"/>
    </row>
    <row r="526" spans="1:1" x14ac:dyDescent="0.3">
      <c r="A526" s="19"/>
    </row>
    <row r="527" spans="1:1" x14ac:dyDescent="0.3">
      <c r="A527" s="19"/>
    </row>
    <row r="528" spans="1:1" x14ac:dyDescent="0.3">
      <c r="A528" s="19"/>
    </row>
    <row r="529" spans="1:1" x14ac:dyDescent="0.3">
      <c r="A529" s="19"/>
    </row>
    <row r="530" spans="1:1" x14ac:dyDescent="0.3">
      <c r="A530" s="19"/>
    </row>
    <row r="531" spans="1:1" x14ac:dyDescent="0.3">
      <c r="A531" s="19"/>
    </row>
    <row r="532" spans="1:1" x14ac:dyDescent="0.3">
      <c r="A532" s="19"/>
    </row>
    <row r="533" spans="1:1" x14ac:dyDescent="0.3">
      <c r="A533" s="19"/>
    </row>
    <row r="534" spans="1:1" x14ac:dyDescent="0.3">
      <c r="A534" s="19"/>
    </row>
    <row r="535" spans="1:1" x14ac:dyDescent="0.3">
      <c r="A535" s="19"/>
    </row>
    <row r="536" spans="1:1" x14ac:dyDescent="0.3">
      <c r="A536" s="19"/>
    </row>
    <row r="537" spans="1:1" x14ac:dyDescent="0.3">
      <c r="A537" s="19"/>
    </row>
    <row r="538" spans="1:1" x14ac:dyDescent="0.3">
      <c r="A538" s="19"/>
    </row>
    <row r="539" spans="1:1" x14ac:dyDescent="0.3">
      <c r="A539" s="19"/>
    </row>
    <row r="540" spans="1:1" x14ac:dyDescent="0.3">
      <c r="A540" s="19"/>
    </row>
    <row r="541" spans="1:1" x14ac:dyDescent="0.3">
      <c r="A541" s="19"/>
    </row>
    <row r="542" spans="1:1" x14ac:dyDescent="0.3">
      <c r="A542" s="19"/>
    </row>
    <row r="543" spans="1:1" x14ac:dyDescent="0.3">
      <c r="A543" s="19"/>
    </row>
    <row r="544" spans="1:1" x14ac:dyDescent="0.3">
      <c r="A544" s="19"/>
    </row>
    <row r="545" spans="1:1" x14ac:dyDescent="0.3">
      <c r="A545" s="19"/>
    </row>
    <row r="546" spans="1:1" x14ac:dyDescent="0.3">
      <c r="A546" s="19"/>
    </row>
    <row r="547" spans="1:1" x14ac:dyDescent="0.3">
      <c r="A547" s="19"/>
    </row>
    <row r="548" spans="1:1" x14ac:dyDescent="0.3">
      <c r="A548" s="19"/>
    </row>
    <row r="549" spans="1:1" x14ac:dyDescent="0.3">
      <c r="A549" s="19"/>
    </row>
    <row r="550" spans="1:1" x14ac:dyDescent="0.3">
      <c r="A550" s="19"/>
    </row>
    <row r="551" spans="1:1" x14ac:dyDescent="0.3">
      <c r="A551" s="19"/>
    </row>
    <row r="552" spans="1:1" x14ac:dyDescent="0.3">
      <c r="A552" s="19"/>
    </row>
    <row r="553" spans="1:1" x14ac:dyDescent="0.3">
      <c r="A553" s="19"/>
    </row>
    <row r="554" spans="1:1" x14ac:dyDescent="0.3">
      <c r="A554" s="19"/>
    </row>
    <row r="555" spans="1:1" x14ac:dyDescent="0.3">
      <c r="A555" s="19"/>
    </row>
    <row r="556" spans="1:1" x14ac:dyDescent="0.3">
      <c r="A556" s="19"/>
    </row>
    <row r="557" spans="1:1" x14ac:dyDescent="0.3">
      <c r="A557" s="19"/>
    </row>
    <row r="558" spans="1:1" x14ac:dyDescent="0.3">
      <c r="A558" s="19"/>
    </row>
    <row r="559" spans="1:1" x14ac:dyDescent="0.3">
      <c r="A559" s="19"/>
    </row>
    <row r="560" spans="1:1" x14ac:dyDescent="0.3">
      <c r="A560" s="19"/>
    </row>
    <row r="561" spans="1:1" x14ac:dyDescent="0.3">
      <c r="A561" s="19"/>
    </row>
    <row r="562" spans="1:1" x14ac:dyDescent="0.3">
      <c r="A562" s="19"/>
    </row>
    <row r="563" spans="1:1" x14ac:dyDescent="0.3">
      <c r="A563" s="19"/>
    </row>
    <row r="564" spans="1:1" x14ac:dyDescent="0.3">
      <c r="A564" s="19"/>
    </row>
    <row r="565" spans="1:1" x14ac:dyDescent="0.3">
      <c r="A565" s="19"/>
    </row>
    <row r="566" spans="1:1" x14ac:dyDescent="0.3">
      <c r="A566" s="19"/>
    </row>
    <row r="567" spans="1:1" x14ac:dyDescent="0.3">
      <c r="A567" s="19"/>
    </row>
    <row r="568" spans="1:1" x14ac:dyDescent="0.3">
      <c r="A568" s="19"/>
    </row>
    <row r="569" spans="1:1" x14ac:dyDescent="0.3">
      <c r="A569" s="19"/>
    </row>
    <row r="570" spans="1:1" x14ac:dyDescent="0.3">
      <c r="A570" s="19"/>
    </row>
    <row r="571" spans="1:1" x14ac:dyDescent="0.3">
      <c r="A571" s="19"/>
    </row>
    <row r="572" spans="1:1" x14ac:dyDescent="0.3">
      <c r="A572" s="19"/>
    </row>
    <row r="573" spans="1:1" x14ac:dyDescent="0.3">
      <c r="A573" s="19"/>
    </row>
    <row r="574" spans="1:1" x14ac:dyDescent="0.3">
      <c r="A574" s="19"/>
    </row>
    <row r="575" spans="1:1" x14ac:dyDescent="0.3">
      <c r="A575" s="19"/>
    </row>
    <row r="576" spans="1:1" x14ac:dyDescent="0.3">
      <c r="A576" s="19"/>
    </row>
    <row r="577" spans="1:1" x14ac:dyDescent="0.3">
      <c r="A577" s="19"/>
    </row>
    <row r="578" spans="1:1" x14ac:dyDescent="0.3">
      <c r="A578" s="19"/>
    </row>
    <row r="579" spans="1:1" x14ac:dyDescent="0.3">
      <c r="A579" s="19"/>
    </row>
    <row r="580" spans="1:1" x14ac:dyDescent="0.3">
      <c r="A580" s="19"/>
    </row>
    <row r="581" spans="1:1" x14ac:dyDescent="0.3">
      <c r="A581" s="19"/>
    </row>
    <row r="582" spans="1:1" x14ac:dyDescent="0.3">
      <c r="A582" s="19"/>
    </row>
    <row r="583" spans="1:1" x14ac:dyDescent="0.3">
      <c r="A583" s="19"/>
    </row>
    <row r="584" spans="1:1" x14ac:dyDescent="0.3">
      <c r="A584" s="19"/>
    </row>
    <row r="585" spans="1:1" x14ac:dyDescent="0.3">
      <c r="A585" s="19"/>
    </row>
    <row r="586" spans="1:1" x14ac:dyDescent="0.3">
      <c r="A586" s="19"/>
    </row>
    <row r="587" spans="1:1" x14ac:dyDescent="0.3">
      <c r="A587" s="19"/>
    </row>
    <row r="588" spans="1:1" x14ac:dyDescent="0.3">
      <c r="A588" s="19"/>
    </row>
    <row r="589" spans="1:1" x14ac:dyDescent="0.3">
      <c r="A589" s="19"/>
    </row>
    <row r="590" spans="1:1" x14ac:dyDescent="0.3">
      <c r="A590" s="19"/>
    </row>
    <row r="591" spans="1:1" x14ac:dyDescent="0.3">
      <c r="A591" s="19"/>
    </row>
    <row r="592" spans="1:1" x14ac:dyDescent="0.3">
      <c r="A592" s="19"/>
    </row>
    <row r="593" spans="1:1" x14ac:dyDescent="0.3">
      <c r="A593" s="19"/>
    </row>
    <row r="594" spans="1:1" x14ac:dyDescent="0.3">
      <c r="A594" s="19"/>
    </row>
    <row r="595" spans="1:1" x14ac:dyDescent="0.3">
      <c r="A595" s="19"/>
    </row>
    <row r="596" spans="1:1" x14ac:dyDescent="0.3">
      <c r="A596" s="19"/>
    </row>
    <row r="597" spans="1:1" x14ac:dyDescent="0.3">
      <c r="A597" s="19"/>
    </row>
    <row r="598" spans="1:1" x14ac:dyDescent="0.3">
      <c r="A598" s="19"/>
    </row>
    <row r="599" spans="1:1" x14ac:dyDescent="0.3">
      <c r="A599" s="19"/>
    </row>
    <row r="600" spans="1:1" x14ac:dyDescent="0.3">
      <c r="A600" s="19"/>
    </row>
    <row r="601" spans="1:1" x14ac:dyDescent="0.3">
      <c r="A601" s="19"/>
    </row>
    <row r="602" spans="1:1" x14ac:dyDescent="0.3">
      <c r="A602" s="19"/>
    </row>
    <row r="603" spans="1:1" x14ac:dyDescent="0.3">
      <c r="A603" s="19"/>
    </row>
    <row r="604" spans="1:1" x14ac:dyDescent="0.3">
      <c r="A604" s="19"/>
    </row>
    <row r="605" spans="1:1" x14ac:dyDescent="0.3">
      <c r="A605" s="19"/>
    </row>
    <row r="606" spans="1:1" x14ac:dyDescent="0.3">
      <c r="A606" s="19"/>
    </row>
    <row r="607" spans="1:1" x14ac:dyDescent="0.3">
      <c r="A607" s="19"/>
    </row>
    <row r="608" spans="1:1" x14ac:dyDescent="0.3">
      <c r="A608" s="19"/>
    </row>
    <row r="609" spans="1:1" x14ac:dyDescent="0.3">
      <c r="A609" s="19"/>
    </row>
    <row r="610" spans="1:1" x14ac:dyDescent="0.3">
      <c r="A610" s="19"/>
    </row>
    <row r="611" spans="1:1" x14ac:dyDescent="0.3">
      <c r="A611" s="19"/>
    </row>
    <row r="612" spans="1:1" x14ac:dyDescent="0.3">
      <c r="A612" s="19"/>
    </row>
    <row r="613" spans="1:1" x14ac:dyDescent="0.3">
      <c r="A613" s="19"/>
    </row>
    <row r="614" spans="1:1" x14ac:dyDescent="0.3">
      <c r="A614" s="19"/>
    </row>
    <row r="615" spans="1:1" x14ac:dyDescent="0.3">
      <c r="A615" s="19"/>
    </row>
    <row r="616" spans="1:1" x14ac:dyDescent="0.3">
      <c r="A616" s="19"/>
    </row>
    <row r="617" spans="1:1" x14ac:dyDescent="0.3">
      <c r="A617" s="19"/>
    </row>
    <row r="618" spans="1:1" x14ac:dyDescent="0.3">
      <c r="A618" s="19"/>
    </row>
    <row r="619" spans="1:1" x14ac:dyDescent="0.3">
      <c r="A619" s="19"/>
    </row>
    <row r="620" spans="1:1" x14ac:dyDescent="0.3">
      <c r="A620" s="19"/>
    </row>
    <row r="621" spans="1:1" x14ac:dyDescent="0.3">
      <c r="A621" s="19"/>
    </row>
    <row r="622" spans="1:1" x14ac:dyDescent="0.3">
      <c r="A622" s="19"/>
    </row>
    <row r="623" spans="1:1" x14ac:dyDescent="0.3">
      <c r="A623" s="19"/>
    </row>
    <row r="624" spans="1:1" x14ac:dyDescent="0.3">
      <c r="A624" s="19"/>
    </row>
    <row r="625" spans="1:1" x14ac:dyDescent="0.3">
      <c r="A625" s="19"/>
    </row>
    <row r="626" spans="1:1" x14ac:dyDescent="0.3">
      <c r="A626" s="19"/>
    </row>
    <row r="627" spans="1:1" x14ac:dyDescent="0.3">
      <c r="A627" s="19"/>
    </row>
    <row r="628" spans="1:1" x14ac:dyDescent="0.3">
      <c r="A628" s="19"/>
    </row>
    <row r="629" spans="1:1" x14ac:dyDescent="0.3">
      <c r="A629" s="19"/>
    </row>
    <row r="630" spans="1:1" x14ac:dyDescent="0.3">
      <c r="A630" s="19"/>
    </row>
    <row r="631" spans="1:1" x14ac:dyDescent="0.3">
      <c r="A631" s="19"/>
    </row>
    <row r="632" spans="1:1" x14ac:dyDescent="0.3">
      <c r="A632" s="19"/>
    </row>
    <row r="633" spans="1:1" x14ac:dyDescent="0.3">
      <c r="A633" s="19"/>
    </row>
    <row r="634" spans="1:1" x14ac:dyDescent="0.3">
      <c r="A634" s="19"/>
    </row>
    <row r="635" spans="1:1" x14ac:dyDescent="0.3">
      <c r="A635" s="19"/>
    </row>
    <row r="636" spans="1:1" x14ac:dyDescent="0.3">
      <c r="A636" s="19"/>
    </row>
    <row r="637" spans="1:1" x14ac:dyDescent="0.3">
      <c r="A637" s="19"/>
    </row>
    <row r="638" spans="1:1" x14ac:dyDescent="0.3">
      <c r="A638" s="19"/>
    </row>
    <row r="639" spans="1:1" x14ac:dyDescent="0.3">
      <c r="A639" s="19"/>
    </row>
    <row r="640" spans="1:1" x14ac:dyDescent="0.3">
      <c r="A640" s="19"/>
    </row>
    <row r="641" spans="1:1" x14ac:dyDescent="0.3">
      <c r="A641" s="19"/>
    </row>
    <row r="642" spans="1:1" x14ac:dyDescent="0.3">
      <c r="A642" s="19"/>
    </row>
    <row r="643" spans="1:1" x14ac:dyDescent="0.3">
      <c r="A643" s="19"/>
    </row>
    <row r="644" spans="1:1" x14ac:dyDescent="0.3">
      <c r="A644" s="19"/>
    </row>
    <row r="645" spans="1:1" x14ac:dyDescent="0.3">
      <c r="A645" s="19"/>
    </row>
    <row r="646" spans="1:1" x14ac:dyDescent="0.3">
      <c r="A646" s="19"/>
    </row>
    <row r="647" spans="1:1" x14ac:dyDescent="0.3">
      <c r="A647" s="19"/>
    </row>
    <row r="648" spans="1:1" x14ac:dyDescent="0.3">
      <c r="A648" s="19"/>
    </row>
    <row r="649" spans="1:1" x14ac:dyDescent="0.3">
      <c r="A649" s="19"/>
    </row>
    <row r="650" spans="1:1" x14ac:dyDescent="0.3">
      <c r="A650" s="19"/>
    </row>
    <row r="651" spans="1:1" x14ac:dyDescent="0.3">
      <c r="A651" s="19"/>
    </row>
    <row r="652" spans="1:1" x14ac:dyDescent="0.3">
      <c r="A652" s="19"/>
    </row>
    <row r="653" spans="1:1" x14ac:dyDescent="0.3">
      <c r="A653" s="19"/>
    </row>
    <row r="654" spans="1:1" x14ac:dyDescent="0.3">
      <c r="A654" s="19"/>
    </row>
    <row r="655" spans="1:1" x14ac:dyDescent="0.3">
      <c r="A655" s="19"/>
    </row>
    <row r="656" spans="1:1" x14ac:dyDescent="0.3">
      <c r="A656" s="19"/>
    </row>
    <row r="657" spans="1:1" x14ac:dyDescent="0.3">
      <c r="A657" s="19"/>
    </row>
    <row r="658" spans="1:1" x14ac:dyDescent="0.3">
      <c r="A658" s="19"/>
    </row>
    <row r="659" spans="1:1" x14ac:dyDescent="0.3">
      <c r="A659" s="19"/>
    </row>
    <row r="660" spans="1:1" x14ac:dyDescent="0.3">
      <c r="A660" s="19"/>
    </row>
    <row r="661" spans="1:1" x14ac:dyDescent="0.3">
      <c r="A661" s="19"/>
    </row>
    <row r="662" spans="1:1" x14ac:dyDescent="0.3">
      <c r="A662" s="19"/>
    </row>
    <row r="663" spans="1:1" x14ac:dyDescent="0.3">
      <c r="A663" s="19"/>
    </row>
    <row r="664" spans="1:1" x14ac:dyDescent="0.3">
      <c r="A664" s="19"/>
    </row>
    <row r="665" spans="1:1" x14ac:dyDescent="0.3">
      <c r="A665" s="19"/>
    </row>
    <row r="666" spans="1:1" x14ac:dyDescent="0.3">
      <c r="A666" s="19"/>
    </row>
    <row r="667" spans="1:1" x14ac:dyDescent="0.3">
      <c r="A667" s="19"/>
    </row>
    <row r="668" spans="1:1" x14ac:dyDescent="0.3">
      <c r="A668" s="19"/>
    </row>
    <row r="669" spans="1:1" x14ac:dyDescent="0.3">
      <c r="A669" s="19"/>
    </row>
    <row r="670" spans="1:1" x14ac:dyDescent="0.3">
      <c r="A670" s="19"/>
    </row>
    <row r="671" spans="1:1" x14ac:dyDescent="0.3">
      <c r="A671" s="19"/>
    </row>
    <row r="672" spans="1:1" x14ac:dyDescent="0.3">
      <c r="A672" s="19"/>
    </row>
    <row r="673" spans="1:1" x14ac:dyDescent="0.3">
      <c r="A673" s="19"/>
    </row>
    <row r="674" spans="1:1" x14ac:dyDescent="0.3">
      <c r="A674" s="19"/>
    </row>
    <row r="675" spans="1:1" x14ac:dyDescent="0.3">
      <c r="A675" s="19"/>
    </row>
    <row r="676" spans="1:1" x14ac:dyDescent="0.3">
      <c r="A676" s="19"/>
    </row>
    <row r="677" spans="1:1" x14ac:dyDescent="0.3">
      <c r="A677" s="19"/>
    </row>
    <row r="678" spans="1:1" x14ac:dyDescent="0.3">
      <c r="A678" s="19"/>
    </row>
    <row r="679" spans="1:1" x14ac:dyDescent="0.3">
      <c r="A679" s="19"/>
    </row>
    <row r="680" spans="1:1" x14ac:dyDescent="0.3">
      <c r="A680" s="19"/>
    </row>
    <row r="681" spans="1:1" x14ac:dyDescent="0.3">
      <c r="A681" s="19"/>
    </row>
    <row r="682" spans="1:1" x14ac:dyDescent="0.3">
      <c r="A682" s="19"/>
    </row>
    <row r="683" spans="1:1" x14ac:dyDescent="0.3">
      <c r="A683" s="19"/>
    </row>
    <row r="684" spans="1:1" x14ac:dyDescent="0.3">
      <c r="A684" s="19"/>
    </row>
    <row r="685" spans="1:1" x14ac:dyDescent="0.3">
      <c r="A685" s="19"/>
    </row>
    <row r="686" spans="1:1" x14ac:dyDescent="0.3">
      <c r="A686" s="19"/>
    </row>
    <row r="687" spans="1:1" x14ac:dyDescent="0.3">
      <c r="A687" s="19"/>
    </row>
    <row r="688" spans="1:1" x14ac:dyDescent="0.3">
      <c r="A688" s="19"/>
    </row>
    <row r="689" spans="1:1" x14ac:dyDescent="0.3">
      <c r="A689" s="19"/>
    </row>
    <row r="690" spans="1:1" x14ac:dyDescent="0.3">
      <c r="A690" s="19"/>
    </row>
    <row r="691" spans="1:1" x14ac:dyDescent="0.3">
      <c r="A691" s="19"/>
    </row>
    <row r="692" spans="1:1" x14ac:dyDescent="0.3">
      <c r="A692" s="19"/>
    </row>
    <row r="693" spans="1:1" x14ac:dyDescent="0.3">
      <c r="A693" s="19"/>
    </row>
    <row r="694" spans="1:1" x14ac:dyDescent="0.3">
      <c r="A694" s="19"/>
    </row>
    <row r="695" spans="1:1" x14ac:dyDescent="0.3">
      <c r="A695" s="19"/>
    </row>
    <row r="696" spans="1:1" x14ac:dyDescent="0.3">
      <c r="A696" s="19"/>
    </row>
    <row r="697" spans="1:1" x14ac:dyDescent="0.3">
      <c r="A697" s="19"/>
    </row>
    <row r="698" spans="1:1" x14ac:dyDescent="0.3">
      <c r="A698" s="19"/>
    </row>
    <row r="699" spans="1:1" x14ac:dyDescent="0.3">
      <c r="A699" s="19"/>
    </row>
    <row r="700" spans="1:1" x14ac:dyDescent="0.3">
      <c r="A700" s="19"/>
    </row>
    <row r="701" spans="1:1" x14ac:dyDescent="0.3">
      <c r="A701" s="19"/>
    </row>
    <row r="702" spans="1:1" x14ac:dyDescent="0.3">
      <c r="A702" s="19"/>
    </row>
    <row r="703" spans="1:1" x14ac:dyDescent="0.3">
      <c r="A703" s="19"/>
    </row>
    <row r="704" spans="1:1" x14ac:dyDescent="0.3">
      <c r="A704" s="19"/>
    </row>
    <row r="705" spans="1:1" x14ac:dyDescent="0.3">
      <c r="A705" s="19"/>
    </row>
    <row r="706" spans="1:1" x14ac:dyDescent="0.3">
      <c r="A706" s="19"/>
    </row>
    <row r="707" spans="1:1" x14ac:dyDescent="0.3">
      <c r="A707" s="19"/>
    </row>
    <row r="708" spans="1:1" x14ac:dyDescent="0.3">
      <c r="A708" s="19"/>
    </row>
    <row r="709" spans="1:1" x14ac:dyDescent="0.3">
      <c r="A709" s="19"/>
    </row>
    <row r="710" spans="1:1" x14ac:dyDescent="0.3">
      <c r="A710" s="19"/>
    </row>
    <row r="711" spans="1:1" x14ac:dyDescent="0.3">
      <c r="A711" s="19"/>
    </row>
    <row r="712" spans="1:1" x14ac:dyDescent="0.3">
      <c r="A712" s="19"/>
    </row>
    <row r="713" spans="1:1" x14ac:dyDescent="0.3">
      <c r="A713" s="19"/>
    </row>
    <row r="714" spans="1:1" x14ac:dyDescent="0.3">
      <c r="A714" s="19"/>
    </row>
    <row r="715" spans="1:1" x14ac:dyDescent="0.3">
      <c r="A715" s="19"/>
    </row>
    <row r="716" spans="1:1" x14ac:dyDescent="0.3">
      <c r="A716" s="19"/>
    </row>
    <row r="717" spans="1:1" x14ac:dyDescent="0.3">
      <c r="A717" s="19"/>
    </row>
    <row r="718" spans="1:1" x14ac:dyDescent="0.3">
      <c r="A718" s="19"/>
    </row>
    <row r="719" spans="1:1" x14ac:dyDescent="0.3">
      <c r="A719" s="19"/>
    </row>
    <row r="720" spans="1:1" x14ac:dyDescent="0.3">
      <c r="A720" s="19"/>
    </row>
    <row r="721" spans="1:1" x14ac:dyDescent="0.3">
      <c r="A721" s="19"/>
    </row>
    <row r="722" spans="1:1" x14ac:dyDescent="0.3">
      <c r="A722" s="19"/>
    </row>
    <row r="723" spans="1:1" x14ac:dyDescent="0.3">
      <c r="A723" s="19"/>
    </row>
    <row r="724" spans="1:1" x14ac:dyDescent="0.3">
      <c r="A724" s="19"/>
    </row>
    <row r="725" spans="1:1" x14ac:dyDescent="0.3">
      <c r="A725" s="19"/>
    </row>
    <row r="726" spans="1:1" x14ac:dyDescent="0.3">
      <c r="A726" s="19"/>
    </row>
    <row r="727" spans="1:1" x14ac:dyDescent="0.3">
      <c r="A727" s="19"/>
    </row>
    <row r="728" spans="1:1" x14ac:dyDescent="0.3">
      <c r="A728" s="19"/>
    </row>
    <row r="729" spans="1:1" x14ac:dyDescent="0.3">
      <c r="A729" s="19"/>
    </row>
    <row r="730" spans="1:1" x14ac:dyDescent="0.3">
      <c r="A730" s="19"/>
    </row>
    <row r="731" spans="1:1" x14ac:dyDescent="0.3">
      <c r="A731" s="19"/>
    </row>
    <row r="732" spans="1:1" x14ac:dyDescent="0.3">
      <c r="A732" s="19"/>
    </row>
    <row r="733" spans="1:1" x14ac:dyDescent="0.3">
      <c r="A733" s="19"/>
    </row>
    <row r="734" spans="1:1" x14ac:dyDescent="0.3">
      <c r="A734" s="19"/>
    </row>
    <row r="735" spans="1:1" x14ac:dyDescent="0.3">
      <c r="A735" s="19"/>
    </row>
    <row r="736" spans="1:1" x14ac:dyDescent="0.3">
      <c r="A736" s="19"/>
    </row>
    <row r="737" spans="1:1" x14ac:dyDescent="0.3">
      <c r="A737" s="19"/>
    </row>
    <row r="738" spans="1:1" x14ac:dyDescent="0.3">
      <c r="A738" s="19"/>
    </row>
    <row r="739" spans="1:1" x14ac:dyDescent="0.3">
      <c r="A739" s="19"/>
    </row>
    <row r="740" spans="1:1" x14ac:dyDescent="0.3">
      <c r="A740" s="19"/>
    </row>
    <row r="741" spans="1:1" x14ac:dyDescent="0.3">
      <c r="A741" s="19"/>
    </row>
    <row r="742" spans="1:1" x14ac:dyDescent="0.3">
      <c r="A742" s="19"/>
    </row>
    <row r="743" spans="1:1" x14ac:dyDescent="0.3">
      <c r="A743" s="19"/>
    </row>
    <row r="744" spans="1:1" x14ac:dyDescent="0.3">
      <c r="A744" s="19"/>
    </row>
    <row r="745" spans="1:1" x14ac:dyDescent="0.3">
      <c r="A745" s="19"/>
    </row>
    <row r="746" spans="1:1" x14ac:dyDescent="0.3">
      <c r="A746" s="19"/>
    </row>
    <row r="747" spans="1:1" x14ac:dyDescent="0.3">
      <c r="A747" s="19"/>
    </row>
    <row r="748" spans="1:1" x14ac:dyDescent="0.3">
      <c r="A748" s="19"/>
    </row>
    <row r="749" spans="1:1" x14ac:dyDescent="0.3">
      <c r="A749" s="19"/>
    </row>
    <row r="750" spans="1:1" x14ac:dyDescent="0.3">
      <c r="A750" s="19"/>
    </row>
    <row r="751" spans="1:1" x14ac:dyDescent="0.3">
      <c r="A751" s="19"/>
    </row>
    <row r="752" spans="1:1" x14ac:dyDescent="0.3">
      <c r="A752" s="19"/>
    </row>
    <row r="753" spans="1:1" x14ac:dyDescent="0.3">
      <c r="A753" s="19"/>
    </row>
    <row r="754" spans="1:1" x14ac:dyDescent="0.3">
      <c r="A754" s="19"/>
    </row>
    <row r="755" spans="1:1" x14ac:dyDescent="0.3">
      <c r="A755" s="19"/>
    </row>
    <row r="756" spans="1:1" x14ac:dyDescent="0.3">
      <c r="A756" s="19"/>
    </row>
    <row r="757" spans="1:1" x14ac:dyDescent="0.3">
      <c r="A757" s="19"/>
    </row>
    <row r="758" spans="1:1" x14ac:dyDescent="0.3">
      <c r="A758" s="19"/>
    </row>
    <row r="759" spans="1:1" x14ac:dyDescent="0.3">
      <c r="A759" s="19"/>
    </row>
    <row r="760" spans="1:1" x14ac:dyDescent="0.3">
      <c r="A760" s="19"/>
    </row>
    <row r="761" spans="1:1" x14ac:dyDescent="0.3">
      <c r="A761" s="19"/>
    </row>
    <row r="762" spans="1:1" x14ac:dyDescent="0.3">
      <c r="A762" s="19"/>
    </row>
    <row r="763" spans="1:1" x14ac:dyDescent="0.3">
      <c r="A763" s="19"/>
    </row>
    <row r="764" spans="1:1" x14ac:dyDescent="0.3">
      <c r="A764" s="19"/>
    </row>
    <row r="765" spans="1:1" x14ac:dyDescent="0.3">
      <c r="A765" s="19"/>
    </row>
    <row r="766" spans="1:1" x14ac:dyDescent="0.3">
      <c r="A766" s="19"/>
    </row>
    <row r="767" spans="1:1" x14ac:dyDescent="0.3">
      <c r="A767" s="19"/>
    </row>
    <row r="768" spans="1:1" x14ac:dyDescent="0.3">
      <c r="A768" s="19"/>
    </row>
    <row r="769" spans="1:1" x14ac:dyDescent="0.3">
      <c r="A769" s="19"/>
    </row>
    <row r="770" spans="1:1" x14ac:dyDescent="0.3">
      <c r="A770" s="19"/>
    </row>
    <row r="771" spans="1:1" x14ac:dyDescent="0.3">
      <c r="A771" s="19"/>
    </row>
    <row r="772" spans="1:1" x14ac:dyDescent="0.3">
      <c r="A772" s="19"/>
    </row>
    <row r="773" spans="1:1" x14ac:dyDescent="0.3">
      <c r="A773" s="19"/>
    </row>
    <row r="774" spans="1:1" x14ac:dyDescent="0.3">
      <c r="A774" s="19"/>
    </row>
    <row r="775" spans="1:1" x14ac:dyDescent="0.3">
      <c r="A775" s="19"/>
    </row>
    <row r="776" spans="1:1" x14ac:dyDescent="0.3">
      <c r="A776" s="19"/>
    </row>
    <row r="777" spans="1:1" x14ac:dyDescent="0.3">
      <c r="A777" s="19"/>
    </row>
    <row r="778" spans="1:1" x14ac:dyDescent="0.3">
      <c r="A778" s="19"/>
    </row>
    <row r="779" spans="1:1" x14ac:dyDescent="0.3">
      <c r="A779" s="19"/>
    </row>
    <row r="780" spans="1:1" x14ac:dyDescent="0.3">
      <c r="A780" s="19"/>
    </row>
    <row r="781" spans="1:1" x14ac:dyDescent="0.3">
      <c r="A781" s="19"/>
    </row>
    <row r="782" spans="1:1" x14ac:dyDescent="0.3">
      <c r="A782" s="19"/>
    </row>
    <row r="783" spans="1:1" x14ac:dyDescent="0.3">
      <c r="A783" s="19"/>
    </row>
    <row r="784" spans="1:1" x14ac:dyDescent="0.3">
      <c r="A784" s="19"/>
    </row>
    <row r="785" spans="1:1" x14ac:dyDescent="0.3">
      <c r="A785" s="19"/>
    </row>
    <row r="786" spans="1:1" x14ac:dyDescent="0.3">
      <c r="A786" s="19"/>
    </row>
    <row r="787" spans="1:1" x14ac:dyDescent="0.3">
      <c r="A787" s="19"/>
    </row>
    <row r="788" spans="1:1" x14ac:dyDescent="0.3">
      <c r="A788" s="19"/>
    </row>
    <row r="789" spans="1:1" x14ac:dyDescent="0.3">
      <c r="A789" s="19"/>
    </row>
    <row r="790" spans="1:1" x14ac:dyDescent="0.3">
      <c r="A790" s="19"/>
    </row>
    <row r="791" spans="1:1" x14ac:dyDescent="0.3">
      <c r="A791" s="19"/>
    </row>
    <row r="792" spans="1:1" x14ac:dyDescent="0.3">
      <c r="A792" s="19"/>
    </row>
    <row r="793" spans="1:1" x14ac:dyDescent="0.3">
      <c r="A793" s="19"/>
    </row>
    <row r="794" spans="1:1" x14ac:dyDescent="0.3">
      <c r="A794" s="19"/>
    </row>
    <row r="795" spans="1:1" x14ac:dyDescent="0.3">
      <c r="A795" s="19"/>
    </row>
    <row r="796" spans="1:1" x14ac:dyDescent="0.3">
      <c r="A796" s="19"/>
    </row>
    <row r="797" spans="1:1" x14ac:dyDescent="0.3">
      <c r="A797" s="19"/>
    </row>
    <row r="798" spans="1:1" x14ac:dyDescent="0.3">
      <c r="A798" s="19"/>
    </row>
    <row r="799" spans="1:1" x14ac:dyDescent="0.3">
      <c r="A799" s="19"/>
    </row>
    <row r="800" spans="1:1" x14ac:dyDescent="0.3">
      <c r="A800" s="19"/>
    </row>
    <row r="801" spans="1:1" x14ac:dyDescent="0.3">
      <c r="A801" s="19"/>
    </row>
    <row r="802" spans="1:1" x14ac:dyDescent="0.3">
      <c r="A802" s="19"/>
    </row>
    <row r="803" spans="1:1" x14ac:dyDescent="0.3">
      <c r="A803" s="19"/>
    </row>
    <row r="804" spans="1:1" x14ac:dyDescent="0.3">
      <c r="A804" s="19"/>
    </row>
    <row r="805" spans="1:1" x14ac:dyDescent="0.3">
      <c r="A805" s="19"/>
    </row>
    <row r="806" spans="1:1" x14ac:dyDescent="0.3">
      <c r="A806" s="19"/>
    </row>
    <row r="807" spans="1:1" x14ac:dyDescent="0.3">
      <c r="A807" s="19"/>
    </row>
    <row r="808" spans="1:1" x14ac:dyDescent="0.3">
      <c r="A808" s="19"/>
    </row>
    <row r="809" spans="1:1" x14ac:dyDescent="0.3">
      <c r="A809" s="19"/>
    </row>
    <row r="810" spans="1:1" x14ac:dyDescent="0.3">
      <c r="A810" s="19"/>
    </row>
    <row r="811" spans="1:1" x14ac:dyDescent="0.3">
      <c r="A811" s="19"/>
    </row>
    <row r="812" spans="1:1" x14ac:dyDescent="0.3">
      <c r="A812" s="19"/>
    </row>
    <row r="813" spans="1:1" x14ac:dyDescent="0.3">
      <c r="A813" s="19"/>
    </row>
    <row r="814" spans="1:1" x14ac:dyDescent="0.3">
      <c r="A814" s="19"/>
    </row>
    <row r="815" spans="1:1" x14ac:dyDescent="0.3">
      <c r="A815" s="19"/>
    </row>
    <row r="816" spans="1:1" x14ac:dyDescent="0.3">
      <c r="A816" s="19"/>
    </row>
    <row r="817" spans="1:1" x14ac:dyDescent="0.3">
      <c r="A817" s="19"/>
    </row>
    <row r="818" spans="1:1" x14ac:dyDescent="0.3">
      <c r="A818" s="19"/>
    </row>
    <row r="819" spans="1:1" x14ac:dyDescent="0.3">
      <c r="A819" s="19"/>
    </row>
    <row r="820" spans="1:1" x14ac:dyDescent="0.3">
      <c r="A820" s="19"/>
    </row>
    <row r="821" spans="1:1" x14ac:dyDescent="0.3">
      <c r="A821" s="19"/>
    </row>
    <row r="822" spans="1:1" x14ac:dyDescent="0.3">
      <c r="A822" s="19"/>
    </row>
    <row r="823" spans="1:1" x14ac:dyDescent="0.3">
      <c r="A823" s="19"/>
    </row>
    <row r="824" spans="1:1" x14ac:dyDescent="0.3">
      <c r="A824" s="19"/>
    </row>
    <row r="825" spans="1:1" x14ac:dyDescent="0.3">
      <c r="A825" s="19"/>
    </row>
    <row r="826" spans="1:1" x14ac:dyDescent="0.3">
      <c r="A826" s="19"/>
    </row>
    <row r="827" spans="1:1" x14ac:dyDescent="0.3">
      <c r="A827" s="19"/>
    </row>
    <row r="828" spans="1:1" x14ac:dyDescent="0.3">
      <c r="A828" s="19"/>
    </row>
    <row r="829" spans="1:1" x14ac:dyDescent="0.3">
      <c r="A829" s="19"/>
    </row>
    <row r="830" spans="1:1" x14ac:dyDescent="0.3">
      <c r="A830" s="19"/>
    </row>
    <row r="831" spans="1:1" x14ac:dyDescent="0.3">
      <c r="A831" s="19"/>
    </row>
    <row r="832" spans="1:1" x14ac:dyDescent="0.3">
      <c r="A832" s="19"/>
    </row>
    <row r="833" spans="1:1" x14ac:dyDescent="0.3">
      <c r="A833" s="19"/>
    </row>
    <row r="834" spans="1:1" x14ac:dyDescent="0.3">
      <c r="A834" s="19"/>
    </row>
    <row r="835" spans="1:1" x14ac:dyDescent="0.3">
      <c r="A835" s="19"/>
    </row>
    <row r="836" spans="1:1" x14ac:dyDescent="0.3">
      <c r="A836" s="19"/>
    </row>
    <row r="837" spans="1:1" x14ac:dyDescent="0.3">
      <c r="A837" s="19"/>
    </row>
    <row r="838" spans="1:1" x14ac:dyDescent="0.3">
      <c r="A838" s="19"/>
    </row>
    <row r="839" spans="1:1" x14ac:dyDescent="0.3">
      <c r="A839" s="19"/>
    </row>
    <row r="840" spans="1:1" x14ac:dyDescent="0.3">
      <c r="A840" s="19"/>
    </row>
    <row r="841" spans="1:1" x14ac:dyDescent="0.3">
      <c r="A841" s="19"/>
    </row>
    <row r="842" spans="1:1" x14ac:dyDescent="0.3">
      <c r="A842" s="19"/>
    </row>
    <row r="843" spans="1:1" x14ac:dyDescent="0.3">
      <c r="A843" s="19"/>
    </row>
    <row r="844" spans="1:1" x14ac:dyDescent="0.3">
      <c r="A844" s="19"/>
    </row>
    <row r="845" spans="1:1" x14ac:dyDescent="0.3">
      <c r="A845" s="19"/>
    </row>
    <row r="846" spans="1:1" x14ac:dyDescent="0.3">
      <c r="A846" s="19"/>
    </row>
    <row r="847" spans="1:1" x14ac:dyDescent="0.3">
      <c r="A847" s="19"/>
    </row>
    <row r="848" spans="1:1" x14ac:dyDescent="0.3">
      <c r="A848" s="19"/>
    </row>
    <row r="849" spans="1:1" x14ac:dyDescent="0.3">
      <c r="A849" s="19"/>
    </row>
    <row r="850" spans="1:1" x14ac:dyDescent="0.3">
      <c r="A850" s="19"/>
    </row>
    <row r="851" spans="1:1" x14ac:dyDescent="0.3">
      <c r="A851" s="19"/>
    </row>
    <row r="852" spans="1:1" x14ac:dyDescent="0.3">
      <c r="A852" s="19"/>
    </row>
    <row r="853" spans="1:1" x14ac:dyDescent="0.3">
      <c r="A853" s="19"/>
    </row>
    <row r="854" spans="1:1" x14ac:dyDescent="0.3">
      <c r="A854" s="19"/>
    </row>
    <row r="855" spans="1:1" x14ac:dyDescent="0.3">
      <c r="A855" s="19"/>
    </row>
    <row r="856" spans="1:1" x14ac:dyDescent="0.3">
      <c r="A856" s="19"/>
    </row>
    <row r="857" spans="1:1" x14ac:dyDescent="0.3">
      <c r="A857" s="19"/>
    </row>
    <row r="858" spans="1:1" x14ac:dyDescent="0.3">
      <c r="A858" s="19"/>
    </row>
    <row r="859" spans="1:1" x14ac:dyDescent="0.3">
      <c r="A859" s="19"/>
    </row>
    <row r="860" spans="1:1" x14ac:dyDescent="0.3">
      <c r="A860" s="19"/>
    </row>
    <row r="861" spans="1:1" x14ac:dyDescent="0.3">
      <c r="A861" s="19"/>
    </row>
    <row r="862" spans="1:1" x14ac:dyDescent="0.3">
      <c r="A862" s="19"/>
    </row>
    <row r="863" spans="1:1" x14ac:dyDescent="0.3">
      <c r="A863" s="19"/>
    </row>
    <row r="864" spans="1:1" x14ac:dyDescent="0.3">
      <c r="A864" s="19"/>
    </row>
    <row r="865" spans="1:1" x14ac:dyDescent="0.3">
      <c r="A865" s="19"/>
    </row>
    <row r="866" spans="1:1" x14ac:dyDescent="0.3">
      <c r="A866" s="19"/>
    </row>
    <row r="867" spans="1:1" x14ac:dyDescent="0.3">
      <c r="A867" s="19"/>
    </row>
    <row r="868" spans="1:1" x14ac:dyDescent="0.3">
      <c r="A868" s="19"/>
    </row>
    <row r="869" spans="1:1" x14ac:dyDescent="0.3">
      <c r="A869" s="19"/>
    </row>
    <row r="870" spans="1:1" x14ac:dyDescent="0.3">
      <c r="A870" s="19"/>
    </row>
    <row r="871" spans="1:1" x14ac:dyDescent="0.3">
      <c r="A871" s="19"/>
    </row>
    <row r="872" spans="1:1" x14ac:dyDescent="0.3">
      <c r="A872" s="19"/>
    </row>
    <row r="873" spans="1:1" x14ac:dyDescent="0.3">
      <c r="A873" s="19"/>
    </row>
    <row r="874" spans="1:1" x14ac:dyDescent="0.3">
      <c r="A874" s="19"/>
    </row>
    <row r="875" spans="1:1" x14ac:dyDescent="0.3">
      <c r="A875" s="19"/>
    </row>
    <row r="876" spans="1:1" x14ac:dyDescent="0.3">
      <c r="A876" s="19"/>
    </row>
    <row r="877" spans="1:1" x14ac:dyDescent="0.3">
      <c r="A877" s="19"/>
    </row>
    <row r="878" spans="1:1" x14ac:dyDescent="0.3">
      <c r="A878" s="19"/>
    </row>
    <row r="879" spans="1:1" x14ac:dyDescent="0.3">
      <c r="A879" s="19"/>
    </row>
    <row r="880" spans="1:1" x14ac:dyDescent="0.3">
      <c r="A880" s="19"/>
    </row>
    <row r="881" spans="1:1" x14ac:dyDescent="0.3">
      <c r="A881" s="19"/>
    </row>
    <row r="882" spans="1:1" x14ac:dyDescent="0.3">
      <c r="A882" s="19"/>
    </row>
    <row r="883" spans="1:1" x14ac:dyDescent="0.3">
      <c r="A883" s="19"/>
    </row>
    <row r="884" spans="1:1" x14ac:dyDescent="0.3">
      <c r="A884" s="19"/>
    </row>
    <row r="885" spans="1:1" x14ac:dyDescent="0.3">
      <c r="A885" s="19"/>
    </row>
    <row r="886" spans="1:1" x14ac:dyDescent="0.3">
      <c r="A886" s="19"/>
    </row>
    <row r="887" spans="1:1" x14ac:dyDescent="0.3">
      <c r="A887" s="19"/>
    </row>
    <row r="888" spans="1:1" x14ac:dyDescent="0.3">
      <c r="A888" s="19"/>
    </row>
    <row r="889" spans="1:1" x14ac:dyDescent="0.3">
      <c r="A889" s="19"/>
    </row>
    <row r="890" spans="1:1" x14ac:dyDescent="0.3">
      <c r="A890" s="19"/>
    </row>
    <row r="891" spans="1:1" x14ac:dyDescent="0.3">
      <c r="A891" s="19"/>
    </row>
    <row r="892" spans="1:1" x14ac:dyDescent="0.3">
      <c r="A892" s="19"/>
    </row>
    <row r="893" spans="1:1" x14ac:dyDescent="0.3">
      <c r="A893" s="19"/>
    </row>
    <row r="894" spans="1:1" x14ac:dyDescent="0.3">
      <c r="A894" s="19"/>
    </row>
    <row r="895" spans="1:1" x14ac:dyDescent="0.3">
      <c r="A895" s="19"/>
    </row>
    <row r="896" spans="1:1" x14ac:dyDescent="0.3">
      <c r="A896" s="19"/>
    </row>
    <row r="897" spans="1:1" x14ac:dyDescent="0.3">
      <c r="A897" s="19"/>
    </row>
    <row r="898" spans="1:1" x14ac:dyDescent="0.3">
      <c r="A898" s="19"/>
    </row>
    <row r="899" spans="1:1" x14ac:dyDescent="0.3">
      <c r="A899" s="19"/>
    </row>
    <row r="900" spans="1:1" x14ac:dyDescent="0.3">
      <c r="A900" s="19"/>
    </row>
    <row r="901" spans="1:1" x14ac:dyDescent="0.3">
      <c r="A901" s="19"/>
    </row>
    <row r="902" spans="1:1" x14ac:dyDescent="0.3">
      <c r="A902" s="19"/>
    </row>
    <row r="903" spans="1:1" x14ac:dyDescent="0.3">
      <c r="A903" s="19"/>
    </row>
    <row r="904" spans="1:1" x14ac:dyDescent="0.3">
      <c r="A904" s="19"/>
    </row>
    <row r="905" spans="1:1" x14ac:dyDescent="0.3">
      <c r="A905" s="19"/>
    </row>
    <row r="906" spans="1:1" x14ac:dyDescent="0.3">
      <c r="A906" s="19"/>
    </row>
    <row r="907" spans="1:1" x14ac:dyDescent="0.3">
      <c r="A907" s="19"/>
    </row>
    <row r="908" spans="1:1" x14ac:dyDescent="0.3">
      <c r="A908" s="19"/>
    </row>
    <row r="909" spans="1:1" x14ac:dyDescent="0.3">
      <c r="A909" s="19"/>
    </row>
    <row r="910" spans="1:1" x14ac:dyDescent="0.3">
      <c r="A910" s="19"/>
    </row>
    <row r="911" spans="1:1" x14ac:dyDescent="0.3">
      <c r="A911" s="19"/>
    </row>
    <row r="912" spans="1:1" x14ac:dyDescent="0.3">
      <c r="A912" s="19"/>
    </row>
    <row r="913" spans="1:1" x14ac:dyDescent="0.3">
      <c r="A913" s="19"/>
    </row>
    <row r="914" spans="1:1" x14ac:dyDescent="0.3">
      <c r="A914" s="19"/>
    </row>
    <row r="915" spans="1:1" x14ac:dyDescent="0.3">
      <c r="A915" s="19"/>
    </row>
    <row r="916" spans="1:1" x14ac:dyDescent="0.3">
      <c r="A916" s="19"/>
    </row>
    <row r="917" spans="1:1" x14ac:dyDescent="0.3">
      <c r="A917" s="19"/>
    </row>
    <row r="918" spans="1:1" x14ac:dyDescent="0.3">
      <c r="A918" s="19"/>
    </row>
    <row r="919" spans="1:1" x14ac:dyDescent="0.3">
      <c r="A919" s="19"/>
    </row>
    <row r="920" spans="1:1" x14ac:dyDescent="0.3">
      <c r="A920" s="19"/>
    </row>
    <row r="921" spans="1:1" x14ac:dyDescent="0.3">
      <c r="A921" s="19"/>
    </row>
    <row r="922" spans="1:1" x14ac:dyDescent="0.3">
      <c r="A922" s="19"/>
    </row>
    <row r="923" spans="1:1" x14ac:dyDescent="0.3">
      <c r="A923" s="19"/>
    </row>
    <row r="924" spans="1:1" x14ac:dyDescent="0.3">
      <c r="A924" s="19"/>
    </row>
    <row r="925" spans="1:1" x14ac:dyDescent="0.3">
      <c r="A925" s="19"/>
    </row>
    <row r="926" spans="1:1" x14ac:dyDescent="0.3">
      <c r="A926" s="19"/>
    </row>
    <row r="927" spans="1:1" x14ac:dyDescent="0.3">
      <c r="A927" s="19"/>
    </row>
    <row r="928" spans="1:1" x14ac:dyDescent="0.3">
      <c r="A928" s="19"/>
    </row>
    <row r="929" spans="1:1" x14ac:dyDescent="0.3">
      <c r="A929" s="19"/>
    </row>
    <row r="930" spans="1:1" x14ac:dyDescent="0.3">
      <c r="A930" s="19"/>
    </row>
    <row r="931" spans="1:1" x14ac:dyDescent="0.3">
      <c r="A931" s="19"/>
    </row>
    <row r="932" spans="1:1" x14ac:dyDescent="0.3">
      <c r="A932" s="19"/>
    </row>
    <row r="933" spans="1:1" x14ac:dyDescent="0.3">
      <c r="A933" s="19"/>
    </row>
    <row r="934" spans="1:1" x14ac:dyDescent="0.3">
      <c r="A934" s="19"/>
    </row>
    <row r="935" spans="1:1" x14ac:dyDescent="0.3">
      <c r="A935" s="19"/>
    </row>
    <row r="936" spans="1:1" x14ac:dyDescent="0.3">
      <c r="A936" s="19"/>
    </row>
    <row r="937" spans="1:1" x14ac:dyDescent="0.3">
      <c r="A937" s="19"/>
    </row>
    <row r="938" spans="1:1" x14ac:dyDescent="0.3">
      <c r="A938" s="19"/>
    </row>
    <row r="939" spans="1:1" x14ac:dyDescent="0.3">
      <c r="A939" s="19"/>
    </row>
    <row r="940" spans="1:1" x14ac:dyDescent="0.3">
      <c r="A940" s="19"/>
    </row>
    <row r="941" spans="1:1" x14ac:dyDescent="0.3">
      <c r="A941" s="19"/>
    </row>
    <row r="942" spans="1:1" x14ac:dyDescent="0.3">
      <c r="A942" s="19"/>
    </row>
    <row r="943" spans="1:1" x14ac:dyDescent="0.3">
      <c r="A943" s="19"/>
    </row>
    <row r="944" spans="1:1" x14ac:dyDescent="0.3">
      <c r="A944" s="19"/>
    </row>
    <row r="945" spans="1:1" x14ac:dyDescent="0.3">
      <c r="A945" s="19"/>
    </row>
    <row r="946" spans="1:1" x14ac:dyDescent="0.3">
      <c r="A946" s="19"/>
    </row>
    <row r="947" spans="1:1" x14ac:dyDescent="0.3">
      <c r="A947" s="19"/>
    </row>
    <row r="948" spans="1:1" x14ac:dyDescent="0.3">
      <c r="A948" s="19"/>
    </row>
    <row r="949" spans="1:1" x14ac:dyDescent="0.3">
      <c r="A949" s="19"/>
    </row>
    <row r="950" spans="1:1" x14ac:dyDescent="0.3">
      <c r="A950" s="19"/>
    </row>
    <row r="951" spans="1:1" x14ac:dyDescent="0.3">
      <c r="A951" s="19"/>
    </row>
    <row r="952" spans="1:1" x14ac:dyDescent="0.3">
      <c r="A952" s="19"/>
    </row>
    <row r="953" spans="1:1" x14ac:dyDescent="0.3">
      <c r="A953" s="19"/>
    </row>
    <row r="954" spans="1:1" x14ac:dyDescent="0.3">
      <c r="A954" s="19"/>
    </row>
    <row r="955" spans="1:1" x14ac:dyDescent="0.3">
      <c r="A955" s="19"/>
    </row>
    <row r="956" spans="1:1" x14ac:dyDescent="0.3">
      <c r="A956" s="19"/>
    </row>
    <row r="957" spans="1:1" x14ac:dyDescent="0.3">
      <c r="A957" s="19"/>
    </row>
    <row r="958" spans="1:1" x14ac:dyDescent="0.3">
      <c r="A958" s="19"/>
    </row>
    <row r="959" spans="1:1" x14ac:dyDescent="0.3">
      <c r="A959" s="19"/>
    </row>
    <row r="960" spans="1:1" x14ac:dyDescent="0.3">
      <c r="A960" s="19"/>
    </row>
    <row r="961" spans="1:1" x14ac:dyDescent="0.3">
      <c r="A961" s="19"/>
    </row>
    <row r="962" spans="1:1" x14ac:dyDescent="0.3">
      <c r="A962" s="19"/>
    </row>
    <row r="963" spans="1:1" x14ac:dyDescent="0.3">
      <c r="A963" s="19"/>
    </row>
    <row r="964" spans="1:1" x14ac:dyDescent="0.3">
      <c r="A964" s="19"/>
    </row>
    <row r="965" spans="1:1" x14ac:dyDescent="0.3">
      <c r="A965" s="19"/>
    </row>
    <row r="966" spans="1:1" x14ac:dyDescent="0.3">
      <c r="A966" s="19"/>
    </row>
    <row r="967" spans="1:1" x14ac:dyDescent="0.3">
      <c r="A967" s="19"/>
    </row>
    <row r="968" spans="1:1" x14ac:dyDescent="0.3">
      <c r="A968" s="19"/>
    </row>
    <row r="969" spans="1:1" x14ac:dyDescent="0.3">
      <c r="A969" s="19"/>
    </row>
    <row r="970" spans="1:1" x14ac:dyDescent="0.3">
      <c r="A970" s="19"/>
    </row>
    <row r="971" spans="1:1" x14ac:dyDescent="0.3">
      <c r="A971" s="19"/>
    </row>
    <row r="972" spans="1:1" x14ac:dyDescent="0.3">
      <c r="A972" s="19"/>
    </row>
    <row r="973" spans="1:1" x14ac:dyDescent="0.3">
      <c r="A973" s="19"/>
    </row>
    <row r="974" spans="1:1" x14ac:dyDescent="0.3">
      <c r="A974" s="19"/>
    </row>
    <row r="975" spans="1:1" x14ac:dyDescent="0.3">
      <c r="A975" s="19"/>
    </row>
    <row r="976" spans="1:1" x14ac:dyDescent="0.3">
      <c r="A976" s="19"/>
    </row>
    <row r="977" spans="1:1" x14ac:dyDescent="0.3">
      <c r="A977" s="19"/>
    </row>
    <row r="978" spans="1:1" x14ac:dyDescent="0.3">
      <c r="A978" s="19"/>
    </row>
    <row r="979" spans="1:1" x14ac:dyDescent="0.3">
      <c r="A979" s="19"/>
    </row>
    <row r="980" spans="1:1" x14ac:dyDescent="0.3">
      <c r="A980" s="19"/>
    </row>
    <row r="981" spans="1:1" x14ac:dyDescent="0.3">
      <c r="A981" s="19"/>
    </row>
    <row r="982" spans="1:1" x14ac:dyDescent="0.3">
      <c r="A982" s="19"/>
    </row>
    <row r="983" spans="1:1" x14ac:dyDescent="0.3">
      <c r="A983" s="19"/>
    </row>
    <row r="984" spans="1:1" x14ac:dyDescent="0.3">
      <c r="A984" s="19"/>
    </row>
    <row r="985" spans="1:1" x14ac:dyDescent="0.3">
      <c r="A985" s="19"/>
    </row>
    <row r="986" spans="1:1" x14ac:dyDescent="0.3">
      <c r="A986" s="19"/>
    </row>
    <row r="987" spans="1:1" x14ac:dyDescent="0.3">
      <c r="A987" s="19"/>
    </row>
    <row r="988" spans="1:1" x14ac:dyDescent="0.3">
      <c r="A988" s="19"/>
    </row>
    <row r="989" spans="1:1" x14ac:dyDescent="0.3">
      <c r="A989" s="19"/>
    </row>
    <row r="990" spans="1:1" x14ac:dyDescent="0.3">
      <c r="A990" s="19"/>
    </row>
    <row r="991" spans="1:1" x14ac:dyDescent="0.3">
      <c r="A991" s="19"/>
    </row>
    <row r="992" spans="1:1" x14ac:dyDescent="0.3">
      <c r="A992" s="19"/>
    </row>
    <row r="993" spans="1:1" x14ac:dyDescent="0.3">
      <c r="A993" s="19"/>
    </row>
    <row r="994" spans="1:1" x14ac:dyDescent="0.3">
      <c r="A994" s="19"/>
    </row>
    <row r="995" spans="1:1" x14ac:dyDescent="0.3">
      <c r="A995" s="19"/>
    </row>
    <row r="996" spans="1:1" x14ac:dyDescent="0.3">
      <c r="A996" s="19"/>
    </row>
    <row r="997" spans="1:1" x14ac:dyDescent="0.3">
      <c r="A997" s="19"/>
    </row>
    <row r="998" spans="1:1" x14ac:dyDescent="0.3">
      <c r="A998" s="19"/>
    </row>
    <row r="999" spans="1:1" x14ac:dyDescent="0.3">
      <c r="A999" s="19"/>
    </row>
    <row r="1000" spans="1:1" x14ac:dyDescent="0.3">
      <c r="A1000" s="19"/>
    </row>
  </sheetData>
  <mergeCells count="1">
    <mergeCell ref="A1:F1"/>
  </mergeCells>
  <conditionalFormatting sqref="E5:E1000">
    <cfRule type="expression" dxfId="10" priority="1">
      <formula>$E5="Fatto"</formula>
    </cfRule>
    <cfRule type="expression" dxfId="9" priority="2">
      <formula>$E5="In corso"</formula>
    </cfRule>
    <cfRule type="expression" dxfId="8" priority="3">
      <formula>$E5="Da fare"</formula>
    </cfRule>
    <cfRule type="expression" dxfId="7" priority="4">
      <formula>$E5="Sospeso"</formula>
    </cfRule>
  </conditionalFormatting>
  <dataValidations count="2">
    <dataValidation type="list" allowBlank="1" showErrorMessage="1" errorTitle="Valore non previsto" error="Scegli un valore dall'elenco." sqref="B5:B1000" xr:uid="{00000000-0002-0000-1200-000000000000}">
      <formula1>"BE,FE,Database,Deploy,Repository,Documenti"</formula1>
    </dataValidation>
    <dataValidation type="list" allowBlank="1" showErrorMessage="1" errorTitle="Valore non previsto" error="Scegli un valore dall'elenco." sqref="E5:E1000" xr:uid="{00000000-0002-0000-1200-000001000000}">
      <formula1>"Fatto,In corso,Da fare,Sospeso"</formula1>
    </dataValidation>
  </dataValidations>
  <hyperlinks>
    <hyperlink ref="F2" location="'Dashboard'!A1" display="← Torna alla Dashboard" xr:uid="{00000000-0004-0000-1200-000000000000}"/>
  </hyperlinks>
  <pageMargins left="0.75" right="0.75" top="1" bottom="1" header="0.5" footer="0.5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C55A11"/>
  </sheetPr>
  <dimension ref="A1:I1000"/>
  <sheetViews>
    <sheetView showGridLines="0" workbookViewId="0">
      <pane xSplit="1" ySplit="4" topLeftCell="B5" activePane="bottomRight" state="frozen"/>
      <selection pane="topRight"/>
      <selection pane="bottomLeft"/>
      <selection pane="bottomRight" sqref="A1:I1"/>
    </sheetView>
  </sheetViews>
  <sheetFormatPr defaultRowHeight="14.4" x14ac:dyDescent="0.3"/>
  <cols>
    <col min="1" max="1" width="10" customWidth="1"/>
    <col min="2" max="2" width="12" customWidth="1"/>
    <col min="3" max="3" width="11" customWidth="1"/>
    <col min="4" max="4" width="30" customWidth="1"/>
    <col min="5" max="5" width="50" customWidth="1"/>
    <col min="6" max="6" width="10" customWidth="1"/>
    <col min="7" max="7" width="50" customWidth="1"/>
    <col min="8" max="8" width="11" customWidth="1"/>
    <col min="9" max="9" width="12" customWidth="1"/>
  </cols>
  <sheetData>
    <row r="1" spans="1:9" ht="34.049999999999997" customHeight="1" x14ac:dyDescent="0.3">
      <c r="A1" s="32" t="s">
        <v>1326</v>
      </c>
      <c r="B1" s="33"/>
      <c r="C1" s="33"/>
      <c r="D1" s="33"/>
      <c r="E1" s="33"/>
      <c r="F1" s="33"/>
      <c r="G1" s="33"/>
      <c r="H1" s="33"/>
      <c r="I1" s="33"/>
    </row>
    <row r="2" spans="1:9" ht="19.95" customHeight="1" x14ac:dyDescent="0.35">
      <c r="A2" s="1" t="s">
        <v>1327</v>
      </c>
      <c r="I2" s="12" t="s">
        <v>145</v>
      </c>
    </row>
    <row r="4" spans="1:9" ht="24" customHeight="1" x14ac:dyDescent="0.3">
      <c r="A4" s="13" t="s">
        <v>1328</v>
      </c>
      <c r="B4" s="13" t="s">
        <v>1005</v>
      </c>
      <c r="C4" s="13" t="s">
        <v>256</v>
      </c>
      <c r="D4" s="13" t="s">
        <v>55</v>
      </c>
      <c r="E4" s="13" t="s">
        <v>1329</v>
      </c>
      <c r="F4" s="13" t="s">
        <v>75</v>
      </c>
      <c r="G4" s="13" t="s">
        <v>1330</v>
      </c>
      <c r="H4" s="13" t="s">
        <v>73</v>
      </c>
      <c r="I4" s="13" t="s">
        <v>1331</v>
      </c>
    </row>
    <row r="5" spans="1:9" ht="45" x14ac:dyDescent="0.3">
      <c r="A5" s="14" t="s">
        <v>1332</v>
      </c>
      <c r="B5" s="17">
        <v>46297</v>
      </c>
      <c r="C5" s="14" t="s">
        <v>1320</v>
      </c>
      <c r="D5" s="8" t="s">
        <v>1333</v>
      </c>
      <c r="E5" s="8" t="s">
        <v>1334</v>
      </c>
      <c r="F5" s="14" t="s">
        <v>86</v>
      </c>
      <c r="G5" s="8" t="s">
        <v>1335</v>
      </c>
      <c r="H5" s="14" t="s">
        <v>85</v>
      </c>
      <c r="I5" s="17"/>
    </row>
    <row r="6" spans="1:9" ht="15" x14ac:dyDescent="0.3">
      <c r="A6" s="14"/>
      <c r="B6" s="17"/>
      <c r="C6" s="14"/>
      <c r="D6" s="8"/>
      <c r="E6" s="8"/>
      <c r="F6" s="14"/>
      <c r="G6" s="8"/>
      <c r="H6" s="14"/>
      <c r="I6" s="17"/>
    </row>
    <row r="7" spans="1:9" ht="15" x14ac:dyDescent="0.3">
      <c r="A7" s="14"/>
      <c r="B7" s="17"/>
      <c r="C7" s="14"/>
      <c r="D7" s="8"/>
      <c r="E7" s="8"/>
      <c r="F7" s="14"/>
      <c r="G7" s="8"/>
      <c r="H7" s="14"/>
      <c r="I7" s="17"/>
    </row>
    <row r="8" spans="1:9" ht="15" x14ac:dyDescent="0.3">
      <c r="A8" s="14"/>
      <c r="B8" s="17"/>
      <c r="C8" s="14"/>
      <c r="D8" s="8"/>
      <c r="E8" s="8"/>
      <c r="F8" s="14"/>
      <c r="G8" s="8"/>
      <c r="H8" s="14"/>
      <c r="I8" s="17"/>
    </row>
    <row r="9" spans="1:9" ht="15" x14ac:dyDescent="0.3">
      <c r="A9" s="14"/>
      <c r="B9" s="17"/>
      <c r="C9" s="14"/>
      <c r="D9" s="8"/>
      <c r="E9" s="8"/>
      <c r="F9" s="14"/>
      <c r="G9" s="8"/>
      <c r="H9" s="14"/>
      <c r="I9" s="17"/>
    </row>
    <row r="10" spans="1:9" ht="15" x14ac:dyDescent="0.3">
      <c r="A10" s="14"/>
      <c r="B10" s="17"/>
      <c r="C10" s="14"/>
      <c r="D10" s="8"/>
      <c r="E10" s="8"/>
      <c r="F10" s="14"/>
      <c r="G10" s="8"/>
      <c r="H10" s="14"/>
      <c r="I10" s="17"/>
    </row>
    <row r="11" spans="1:9" ht="15" x14ac:dyDescent="0.3">
      <c r="A11" s="14"/>
      <c r="B11" s="17"/>
      <c r="C11" s="14"/>
      <c r="D11" s="8"/>
      <c r="E11" s="8"/>
      <c r="F11" s="14"/>
      <c r="G11" s="8"/>
      <c r="H11" s="14"/>
      <c r="I11" s="17"/>
    </row>
    <row r="12" spans="1:9" ht="15" x14ac:dyDescent="0.3">
      <c r="A12" s="14"/>
      <c r="B12" s="17"/>
      <c r="C12" s="14"/>
      <c r="D12" s="8"/>
      <c r="E12" s="8"/>
      <c r="F12" s="14"/>
      <c r="G12" s="8"/>
      <c r="H12" s="14"/>
      <c r="I12" s="17"/>
    </row>
    <row r="13" spans="1:9" ht="15" x14ac:dyDescent="0.3">
      <c r="A13" s="14"/>
      <c r="B13" s="17"/>
      <c r="C13" s="14"/>
      <c r="D13" s="8"/>
      <c r="E13" s="8"/>
      <c r="F13" s="14"/>
      <c r="G13" s="8"/>
      <c r="H13" s="14"/>
      <c r="I13" s="17"/>
    </row>
    <row r="14" spans="1:9" ht="15" x14ac:dyDescent="0.3">
      <c r="A14" s="14"/>
      <c r="B14" s="17"/>
      <c r="C14" s="14"/>
      <c r="D14" s="8"/>
      <c r="E14" s="8"/>
      <c r="F14" s="14"/>
      <c r="G14" s="8"/>
      <c r="H14" s="14"/>
      <c r="I14" s="17"/>
    </row>
    <row r="15" spans="1:9" ht="15" x14ac:dyDescent="0.3">
      <c r="A15" s="14"/>
      <c r="B15" s="17"/>
      <c r="C15" s="14"/>
      <c r="D15" s="8"/>
      <c r="E15" s="8"/>
      <c r="F15" s="14"/>
      <c r="G15" s="8"/>
      <c r="H15" s="14"/>
      <c r="I15" s="17"/>
    </row>
    <row r="16" spans="1:9" ht="15" x14ac:dyDescent="0.3">
      <c r="A16" s="14"/>
      <c r="B16" s="17"/>
      <c r="C16" s="14"/>
      <c r="D16" s="8"/>
      <c r="E16" s="8"/>
      <c r="F16" s="14"/>
      <c r="G16" s="8"/>
      <c r="H16" s="14"/>
      <c r="I16" s="17"/>
    </row>
    <row r="17" spans="1:9" ht="15" x14ac:dyDescent="0.3">
      <c r="A17" s="14"/>
      <c r="B17" s="17"/>
      <c r="C17" s="14"/>
      <c r="D17" s="8"/>
      <c r="E17" s="8"/>
      <c r="F17" s="14"/>
      <c r="G17" s="8"/>
      <c r="H17" s="14"/>
      <c r="I17" s="17"/>
    </row>
    <row r="18" spans="1:9" ht="15" x14ac:dyDescent="0.3">
      <c r="A18" s="14"/>
      <c r="B18" s="17"/>
      <c r="C18" s="14"/>
      <c r="D18" s="8"/>
      <c r="E18" s="8"/>
      <c r="F18" s="14"/>
      <c r="G18" s="8"/>
      <c r="H18" s="14"/>
      <c r="I18" s="17"/>
    </row>
    <row r="19" spans="1:9" ht="15" x14ac:dyDescent="0.3">
      <c r="A19" s="14"/>
      <c r="B19" s="17"/>
      <c r="C19" s="14"/>
      <c r="D19" s="8"/>
      <c r="E19" s="8"/>
      <c r="F19" s="14"/>
      <c r="G19" s="8"/>
      <c r="H19" s="14"/>
      <c r="I19" s="17"/>
    </row>
    <row r="20" spans="1:9" ht="15" x14ac:dyDescent="0.3">
      <c r="A20" s="14"/>
      <c r="B20" s="17"/>
      <c r="C20" s="14"/>
      <c r="D20" s="8"/>
      <c r="E20" s="8"/>
      <c r="F20" s="14"/>
      <c r="G20" s="8"/>
      <c r="H20" s="14"/>
      <c r="I20" s="17"/>
    </row>
    <row r="21" spans="1:9" ht="15" x14ac:dyDescent="0.3">
      <c r="A21" s="14"/>
      <c r="B21" s="17"/>
      <c r="C21" s="14"/>
      <c r="D21" s="8"/>
      <c r="E21" s="8"/>
      <c r="F21" s="14"/>
      <c r="G21" s="8"/>
      <c r="H21" s="14"/>
      <c r="I21" s="17"/>
    </row>
    <row r="22" spans="1:9" ht="15" x14ac:dyDescent="0.3">
      <c r="A22" s="14"/>
      <c r="B22" s="17"/>
      <c r="C22" s="14"/>
      <c r="D22" s="8"/>
      <c r="E22" s="8"/>
      <c r="F22" s="14"/>
      <c r="G22" s="8"/>
      <c r="H22" s="14"/>
      <c r="I22" s="17"/>
    </row>
    <row r="23" spans="1:9" ht="15" x14ac:dyDescent="0.3">
      <c r="A23" s="14"/>
      <c r="B23" s="17"/>
      <c r="C23" s="14"/>
      <c r="D23" s="8"/>
      <c r="E23" s="8"/>
      <c r="F23" s="14"/>
      <c r="G23" s="8"/>
      <c r="H23" s="14"/>
      <c r="I23" s="17"/>
    </row>
    <row r="24" spans="1:9" ht="15" x14ac:dyDescent="0.3">
      <c r="A24" s="14"/>
      <c r="B24" s="17"/>
      <c r="C24" s="14"/>
      <c r="D24" s="8"/>
      <c r="E24" s="8"/>
      <c r="F24" s="14"/>
      <c r="G24" s="8"/>
      <c r="H24" s="14"/>
      <c r="I24" s="17"/>
    </row>
    <row r="25" spans="1:9" ht="15" x14ac:dyDescent="0.3">
      <c r="A25" s="14"/>
      <c r="B25" s="17"/>
      <c r="C25" s="14"/>
      <c r="D25" s="8"/>
      <c r="E25" s="8"/>
      <c r="F25" s="14"/>
      <c r="G25" s="8"/>
      <c r="H25" s="14"/>
      <c r="I25" s="17"/>
    </row>
    <row r="26" spans="1:9" ht="15" x14ac:dyDescent="0.3">
      <c r="A26" s="14"/>
      <c r="B26" s="17"/>
      <c r="C26" s="14"/>
      <c r="D26" s="8"/>
      <c r="E26" s="8"/>
      <c r="F26" s="14"/>
      <c r="G26" s="8"/>
      <c r="H26" s="14"/>
      <c r="I26" s="17"/>
    </row>
    <row r="27" spans="1:9" ht="15" x14ac:dyDescent="0.3">
      <c r="A27" s="14"/>
      <c r="B27" s="17"/>
      <c r="C27" s="14"/>
      <c r="D27" s="8"/>
      <c r="E27" s="8"/>
      <c r="F27" s="14"/>
      <c r="G27" s="8"/>
      <c r="H27" s="14"/>
      <c r="I27" s="17"/>
    </row>
    <row r="28" spans="1:9" ht="15" x14ac:dyDescent="0.3">
      <c r="A28" s="14"/>
      <c r="B28" s="17"/>
      <c r="C28" s="14"/>
      <c r="D28" s="8"/>
      <c r="E28" s="8"/>
      <c r="F28" s="14"/>
      <c r="G28" s="8"/>
      <c r="H28" s="14"/>
      <c r="I28" s="17"/>
    </row>
    <row r="29" spans="1:9" ht="15" x14ac:dyDescent="0.3">
      <c r="A29" s="14"/>
      <c r="B29" s="17"/>
      <c r="C29" s="14"/>
      <c r="D29" s="8"/>
      <c r="E29" s="8"/>
      <c r="F29" s="14"/>
      <c r="G29" s="8"/>
      <c r="H29" s="14"/>
      <c r="I29" s="17"/>
    </row>
    <row r="30" spans="1:9" ht="15" x14ac:dyDescent="0.3">
      <c r="A30" s="14"/>
      <c r="B30" s="17"/>
      <c r="C30" s="14"/>
      <c r="D30" s="8"/>
      <c r="E30" s="8"/>
      <c r="F30" s="14"/>
      <c r="G30" s="8"/>
      <c r="H30" s="14"/>
      <c r="I30" s="17"/>
    </row>
    <row r="31" spans="1:9" ht="15" x14ac:dyDescent="0.3">
      <c r="A31" s="14"/>
      <c r="B31" s="17"/>
      <c r="C31" s="14"/>
      <c r="D31" s="8"/>
      <c r="E31" s="8"/>
      <c r="F31" s="14"/>
      <c r="G31" s="8"/>
      <c r="H31" s="14"/>
      <c r="I31" s="17"/>
    </row>
    <row r="32" spans="1:9" ht="15" x14ac:dyDescent="0.3">
      <c r="A32" s="14"/>
      <c r="B32" s="17"/>
      <c r="C32" s="14"/>
      <c r="D32" s="8"/>
      <c r="E32" s="8"/>
      <c r="F32" s="14"/>
      <c r="G32" s="8"/>
      <c r="H32" s="14"/>
      <c r="I32" s="17"/>
    </row>
    <row r="33" spans="1:9" ht="15" x14ac:dyDescent="0.3">
      <c r="A33" s="14"/>
      <c r="B33" s="17"/>
      <c r="C33" s="14"/>
      <c r="D33" s="8"/>
      <c r="E33" s="8"/>
      <c r="F33" s="14"/>
      <c r="G33" s="8"/>
      <c r="H33" s="14"/>
      <c r="I33" s="17"/>
    </row>
    <row r="34" spans="1:9" ht="15" x14ac:dyDescent="0.3">
      <c r="A34" s="14"/>
      <c r="B34" s="17"/>
      <c r="C34" s="14"/>
      <c r="D34" s="8"/>
      <c r="E34" s="8"/>
      <c r="F34" s="14"/>
      <c r="G34" s="8"/>
      <c r="H34" s="14"/>
      <c r="I34" s="17"/>
    </row>
    <row r="35" spans="1:9" x14ac:dyDescent="0.3">
      <c r="B35" s="19"/>
      <c r="I35" s="19"/>
    </row>
    <row r="36" spans="1:9" x14ac:dyDescent="0.3">
      <c r="B36" s="19"/>
      <c r="I36" s="19"/>
    </row>
    <row r="37" spans="1:9" x14ac:dyDescent="0.3">
      <c r="B37" s="19"/>
      <c r="I37" s="19"/>
    </row>
    <row r="38" spans="1:9" x14ac:dyDescent="0.3">
      <c r="B38" s="19"/>
      <c r="I38" s="19"/>
    </row>
    <row r="39" spans="1:9" x14ac:dyDescent="0.3">
      <c r="B39" s="19"/>
      <c r="I39" s="19"/>
    </row>
    <row r="40" spans="1:9" x14ac:dyDescent="0.3">
      <c r="B40" s="19"/>
      <c r="I40" s="19"/>
    </row>
    <row r="41" spans="1:9" x14ac:dyDescent="0.3">
      <c r="B41" s="19"/>
      <c r="I41" s="19"/>
    </row>
    <row r="42" spans="1:9" x14ac:dyDescent="0.3">
      <c r="B42" s="19"/>
      <c r="I42" s="19"/>
    </row>
    <row r="43" spans="1:9" x14ac:dyDescent="0.3">
      <c r="B43" s="19"/>
      <c r="I43" s="19"/>
    </row>
    <row r="44" spans="1:9" x14ac:dyDescent="0.3">
      <c r="B44" s="19"/>
      <c r="I44" s="19"/>
    </row>
    <row r="45" spans="1:9" x14ac:dyDescent="0.3">
      <c r="B45" s="19"/>
      <c r="I45" s="19"/>
    </row>
    <row r="46" spans="1:9" x14ac:dyDescent="0.3">
      <c r="B46" s="19"/>
      <c r="I46" s="19"/>
    </row>
    <row r="47" spans="1:9" x14ac:dyDescent="0.3">
      <c r="B47" s="19"/>
      <c r="I47" s="19"/>
    </row>
    <row r="48" spans="1:9" x14ac:dyDescent="0.3">
      <c r="B48" s="19"/>
      <c r="I48" s="19"/>
    </row>
    <row r="49" spans="2:9" x14ac:dyDescent="0.3">
      <c r="B49" s="19"/>
      <c r="I49" s="19"/>
    </row>
    <row r="50" spans="2:9" x14ac:dyDescent="0.3">
      <c r="B50" s="19"/>
      <c r="I50" s="19"/>
    </row>
    <row r="51" spans="2:9" x14ac:dyDescent="0.3">
      <c r="B51" s="19"/>
      <c r="I51" s="19"/>
    </row>
    <row r="52" spans="2:9" x14ac:dyDescent="0.3">
      <c r="B52" s="19"/>
      <c r="I52" s="19"/>
    </row>
    <row r="53" spans="2:9" x14ac:dyDescent="0.3">
      <c r="B53" s="19"/>
      <c r="I53" s="19"/>
    </row>
    <row r="54" spans="2:9" x14ac:dyDescent="0.3">
      <c r="B54" s="19"/>
      <c r="I54" s="19"/>
    </row>
    <row r="55" spans="2:9" x14ac:dyDescent="0.3">
      <c r="B55" s="19"/>
      <c r="I55" s="19"/>
    </row>
    <row r="56" spans="2:9" x14ac:dyDescent="0.3">
      <c r="B56" s="19"/>
      <c r="I56" s="19"/>
    </row>
    <row r="57" spans="2:9" x14ac:dyDescent="0.3">
      <c r="B57" s="19"/>
      <c r="I57" s="19"/>
    </row>
    <row r="58" spans="2:9" x14ac:dyDescent="0.3">
      <c r="B58" s="19"/>
      <c r="I58" s="19"/>
    </row>
    <row r="59" spans="2:9" x14ac:dyDescent="0.3">
      <c r="B59" s="19"/>
      <c r="I59" s="19"/>
    </row>
    <row r="60" spans="2:9" x14ac:dyDescent="0.3">
      <c r="B60" s="19"/>
      <c r="I60" s="19"/>
    </row>
    <row r="61" spans="2:9" x14ac:dyDescent="0.3">
      <c r="B61" s="19"/>
      <c r="I61" s="19"/>
    </row>
    <row r="62" spans="2:9" x14ac:dyDescent="0.3">
      <c r="B62" s="19"/>
      <c r="I62" s="19"/>
    </row>
    <row r="63" spans="2:9" x14ac:dyDescent="0.3">
      <c r="B63" s="19"/>
      <c r="I63" s="19"/>
    </row>
    <row r="64" spans="2:9" x14ac:dyDescent="0.3">
      <c r="B64" s="19"/>
      <c r="I64" s="19"/>
    </row>
    <row r="65" spans="2:9" x14ac:dyDescent="0.3">
      <c r="B65" s="19"/>
      <c r="I65" s="19"/>
    </row>
    <row r="66" spans="2:9" x14ac:dyDescent="0.3">
      <c r="B66" s="19"/>
      <c r="I66" s="19"/>
    </row>
    <row r="67" spans="2:9" x14ac:dyDescent="0.3">
      <c r="B67" s="19"/>
      <c r="I67" s="19"/>
    </row>
    <row r="68" spans="2:9" x14ac:dyDescent="0.3">
      <c r="B68" s="19"/>
      <c r="I68" s="19"/>
    </row>
    <row r="69" spans="2:9" x14ac:dyDescent="0.3">
      <c r="B69" s="19"/>
      <c r="I69" s="19"/>
    </row>
    <row r="70" spans="2:9" x14ac:dyDescent="0.3">
      <c r="B70" s="19"/>
      <c r="I70" s="19"/>
    </row>
    <row r="71" spans="2:9" x14ac:dyDescent="0.3">
      <c r="B71" s="19"/>
      <c r="I71" s="19"/>
    </row>
    <row r="72" spans="2:9" x14ac:dyDescent="0.3">
      <c r="B72" s="19"/>
      <c r="I72" s="19"/>
    </row>
    <row r="73" spans="2:9" x14ac:dyDescent="0.3">
      <c r="B73" s="19"/>
      <c r="I73" s="19"/>
    </row>
    <row r="74" spans="2:9" x14ac:dyDescent="0.3">
      <c r="B74" s="19"/>
      <c r="I74" s="19"/>
    </row>
    <row r="75" spans="2:9" x14ac:dyDescent="0.3">
      <c r="B75" s="19"/>
      <c r="I75" s="19"/>
    </row>
    <row r="76" spans="2:9" x14ac:dyDescent="0.3">
      <c r="B76" s="19"/>
      <c r="I76" s="19"/>
    </row>
    <row r="77" spans="2:9" x14ac:dyDescent="0.3">
      <c r="B77" s="19"/>
      <c r="I77" s="19"/>
    </row>
    <row r="78" spans="2:9" x14ac:dyDescent="0.3">
      <c r="B78" s="19"/>
      <c r="I78" s="19"/>
    </row>
    <row r="79" spans="2:9" x14ac:dyDescent="0.3">
      <c r="B79" s="19"/>
      <c r="I79" s="19"/>
    </row>
    <row r="80" spans="2:9" x14ac:dyDescent="0.3">
      <c r="B80" s="19"/>
      <c r="I80" s="19"/>
    </row>
    <row r="81" spans="2:9" x14ac:dyDescent="0.3">
      <c r="B81" s="19"/>
      <c r="I81" s="19"/>
    </row>
    <row r="82" spans="2:9" x14ac:dyDescent="0.3">
      <c r="B82" s="19"/>
      <c r="I82" s="19"/>
    </row>
    <row r="83" spans="2:9" x14ac:dyDescent="0.3">
      <c r="B83" s="19"/>
      <c r="I83" s="19"/>
    </row>
    <row r="84" spans="2:9" x14ac:dyDescent="0.3">
      <c r="B84" s="19"/>
      <c r="I84" s="19"/>
    </row>
    <row r="85" spans="2:9" x14ac:dyDescent="0.3">
      <c r="B85" s="19"/>
      <c r="I85" s="19"/>
    </row>
    <row r="86" spans="2:9" x14ac:dyDescent="0.3">
      <c r="B86" s="19"/>
      <c r="I86" s="19"/>
    </row>
    <row r="87" spans="2:9" x14ac:dyDescent="0.3">
      <c r="B87" s="19"/>
      <c r="I87" s="19"/>
    </row>
    <row r="88" spans="2:9" x14ac:dyDescent="0.3">
      <c r="B88" s="19"/>
      <c r="I88" s="19"/>
    </row>
    <row r="89" spans="2:9" x14ac:dyDescent="0.3">
      <c r="B89" s="19"/>
      <c r="I89" s="19"/>
    </row>
    <row r="90" spans="2:9" x14ac:dyDescent="0.3">
      <c r="B90" s="19"/>
      <c r="I90" s="19"/>
    </row>
    <row r="91" spans="2:9" x14ac:dyDescent="0.3">
      <c r="B91" s="19"/>
      <c r="I91" s="19"/>
    </row>
    <row r="92" spans="2:9" x14ac:dyDescent="0.3">
      <c r="B92" s="19"/>
      <c r="I92" s="19"/>
    </row>
    <row r="93" spans="2:9" x14ac:dyDescent="0.3">
      <c r="B93" s="19"/>
      <c r="I93" s="19"/>
    </row>
    <row r="94" spans="2:9" x14ac:dyDescent="0.3">
      <c r="B94" s="19"/>
      <c r="I94" s="19"/>
    </row>
    <row r="95" spans="2:9" x14ac:dyDescent="0.3">
      <c r="B95" s="19"/>
      <c r="I95" s="19"/>
    </row>
    <row r="96" spans="2:9" x14ac:dyDescent="0.3">
      <c r="B96" s="19"/>
      <c r="I96" s="19"/>
    </row>
    <row r="97" spans="2:9" x14ac:dyDescent="0.3">
      <c r="B97" s="19"/>
      <c r="I97" s="19"/>
    </row>
    <row r="98" spans="2:9" x14ac:dyDescent="0.3">
      <c r="B98" s="19"/>
      <c r="I98" s="19"/>
    </row>
    <row r="99" spans="2:9" x14ac:dyDescent="0.3">
      <c r="B99" s="19"/>
      <c r="I99" s="19"/>
    </row>
    <row r="100" spans="2:9" x14ac:dyDescent="0.3">
      <c r="B100" s="19"/>
      <c r="I100" s="19"/>
    </row>
    <row r="101" spans="2:9" x14ac:dyDescent="0.3">
      <c r="B101" s="19"/>
      <c r="I101" s="19"/>
    </row>
    <row r="102" spans="2:9" x14ac:dyDescent="0.3">
      <c r="B102" s="19"/>
      <c r="I102" s="19"/>
    </row>
    <row r="103" spans="2:9" x14ac:dyDescent="0.3">
      <c r="B103" s="19"/>
      <c r="I103" s="19"/>
    </row>
    <row r="104" spans="2:9" x14ac:dyDescent="0.3">
      <c r="B104" s="19"/>
      <c r="I104" s="19"/>
    </row>
    <row r="105" spans="2:9" x14ac:dyDescent="0.3">
      <c r="B105" s="19"/>
      <c r="I105" s="19"/>
    </row>
    <row r="106" spans="2:9" x14ac:dyDescent="0.3">
      <c r="B106" s="19"/>
      <c r="I106" s="19"/>
    </row>
    <row r="107" spans="2:9" x14ac:dyDescent="0.3">
      <c r="B107" s="19"/>
      <c r="I107" s="19"/>
    </row>
    <row r="108" spans="2:9" x14ac:dyDescent="0.3">
      <c r="B108" s="19"/>
      <c r="I108" s="19"/>
    </row>
    <row r="109" spans="2:9" x14ac:dyDescent="0.3">
      <c r="B109" s="19"/>
      <c r="I109" s="19"/>
    </row>
    <row r="110" spans="2:9" x14ac:dyDescent="0.3">
      <c r="B110" s="19"/>
      <c r="I110" s="19"/>
    </row>
    <row r="111" spans="2:9" x14ac:dyDescent="0.3">
      <c r="B111" s="19"/>
      <c r="I111" s="19"/>
    </row>
    <row r="112" spans="2:9" x14ac:dyDescent="0.3">
      <c r="B112" s="19"/>
      <c r="I112" s="19"/>
    </row>
    <row r="113" spans="2:9" x14ac:dyDescent="0.3">
      <c r="B113" s="19"/>
      <c r="I113" s="19"/>
    </row>
    <row r="114" spans="2:9" x14ac:dyDescent="0.3">
      <c r="B114" s="19"/>
      <c r="I114" s="19"/>
    </row>
    <row r="115" spans="2:9" x14ac:dyDescent="0.3">
      <c r="B115" s="19"/>
      <c r="I115" s="19"/>
    </row>
    <row r="116" spans="2:9" x14ac:dyDescent="0.3">
      <c r="B116" s="19"/>
      <c r="I116" s="19"/>
    </row>
    <row r="117" spans="2:9" x14ac:dyDescent="0.3">
      <c r="B117" s="19"/>
      <c r="I117" s="19"/>
    </row>
    <row r="118" spans="2:9" x14ac:dyDescent="0.3">
      <c r="B118" s="19"/>
      <c r="I118" s="19"/>
    </row>
    <row r="119" spans="2:9" x14ac:dyDescent="0.3">
      <c r="B119" s="19"/>
      <c r="I119" s="19"/>
    </row>
    <row r="120" spans="2:9" x14ac:dyDescent="0.3">
      <c r="B120" s="19"/>
      <c r="I120" s="19"/>
    </row>
    <row r="121" spans="2:9" x14ac:dyDescent="0.3">
      <c r="B121" s="19"/>
      <c r="I121" s="19"/>
    </row>
    <row r="122" spans="2:9" x14ac:dyDescent="0.3">
      <c r="B122" s="19"/>
      <c r="I122" s="19"/>
    </row>
    <row r="123" spans="2:9" x14ac:dyDescent="0.3">
      <c r="B123" s="19"/>
      <c r="I123" s="19"/>
    </row>
    <row r="124" spans="2:9" x14ac:dyDescent="0.3">
      <c r="B124" s="19"/>
      <c r="I124" s="19"/>
    </row>
    <row r="125" spans="2:9" x14ac:dyDescent="0.3">
      <c r="B125" s="19"/>
      <c r="I125" s="19"/>
    </row>
    <row r="126" spans="2:9" x14ac:dyDescent="0.3">
      <c r="B126" s="19"/>
      <c r="I126" s="19"/>
    </row>
    <row r="127" spans="2:9" x14ac:dyDescent="0.3">
      <c r="B127" s="19"/>
      <c r="I127" s="19"/>
    </row>
    <row r="128" spans="2:9" x14ac:dyDescent="0.3">
      <c r="B128" s="19"/>
      <c r="I128" s="19"/>
    </row>
    <row r="129" spans="2:9" x14ac:dyDescent="0.3">
      <c r="B129" s="19"/>
      <c r="I129" s="19"/>
    </row>
    <row r="130" spans="2:9" x14ac:dyDescent="0.3">
      <c r="B130" s="19"/>
      <c r="I130" s="19"/>
    </row>
    <row r="131" spans="2:9" x14ac:dyDescent="0.3">
      <c r="B131" s="19"/>
      <c r="I131" s="19"/>
    </row>
    <row r="132" spans="2:9" x14ac:dyDescent="0.3">
      <c r="B132" s="19"/>
      <c r="I132" s="19"/>
    </row>
    <row r="133" spans="2:9" x14ac:dyDescent="0.3">
      <c r="B133" s="19"/>
      <c r="I133" s="19"/>
    </row>
    <row r="134" spans="2:9" x14ac:dyDescent="0.3">
      <c r="B134" s="19"/>
      <c r="I134" s="19"/>
    </row>
    <row r="135" spans="2:9" x14ac:dyDescent="0.3">
      <c r="B135" s="19"/>
      <c r="I135" s="19"/>
    </row>
    <row r="136" spans="2:9" x14ac:dyDescent="0.3">
      <c r="B136" s="19"/>
      <c r="I136" s="19"/>
    </row>
    <row r="137" spans="2:9" x14ac:dyDescent="0.3">
      <c r="B137" s="19"/>
      <c r="I137" s="19"/>
    </row>
    <row r="138" spans="2:9" x14ac:dyDescent="0.3">
      <c r="B138" s="19"/>
      <c r="I138" s="19"/>
    </row>
    <row r="139" spans="2:9" x14ac:dyDescent="0.3">
      <c r="B139" s="19"/>
      <c r="I139" s="19"/>
    </row>
    <row r="140" spans="2:9" x14ac:dyDescent="0.3">
      <c r="B140" s="19"/>
      <c r="I140" s="19"/>
    </row>
    <row r="141" spans="2:9" x14ac:dyDescent="0.3">
      <c r="B141" s="19"/>
      <c r="I141" s="19"/>
    </row>
    <row r="142" spans="2:9" x14ac:dyDescent="0.3">
      <c r="B142" s="19"/>
      <c r="I142" s="19"/>
    </row>
    <row r="143" spans="2:9" x14ac:dyDescent="0.3">
      <c r="B143" s="19"/>
      <c r="I143" s="19"/>
    </row>
    <row r="144" spans="2:9" x14ac:dyDescent="0.3">
      <c r="B144" s="19"/>
      <c r="I144" s="19"/>
    </row>
    <row r="145" spans="2:9" x14ac:dyDescent="0.3">
      <c r="B145" s="19"/>
      <c r="I145" s="19"/>
    </row>
    <row r="146" spans="2:9" x14ac:dyDescent="0.3">
      <c r="B146" s="19"/>
      <c r="I146" s="19"/>
    </row>
    <row r="147" spans="2:9" x14ac:dyDescent="0.3">
      <c r="B147" s="19"/>
      <c r="I147" s="19"/>
    </row>
    <row r="148" spans="2:9" x14ac:dyDescent="0.3">
      <c r="B148" s="19"/>
      <c r="I148" s="19"/>
    </row>
    <row r="149" spans="2:9" x14ac:dyDescent="0.3">
      <c r="B149" s="19"/>
      <c r="I149" s="19"/>
    </row>
    <row r="150" spans="2:9" x14ac:dyDescent="0.3">
      <c r="B150" s="19"/>
      <c r="I150" s="19"/>
    </row>
    <row r="151" spans="2:9" x14ac:dyDescent="0.3">
      <c r="B151" s="19"/>
      <c r="I151" s="19"/>
    </row>
    <row r="152" spans="2:9" x14ac:dyDescent="0.3">
      <c r="B152" s="19"/>
      <c r="I152" s="19"/>
    </row>
    <row r="153" spans="2:9" x14ac:dyDescent="0.3">
      <c r="B153" s="19"/>
      <c r="I153" s="19"/>
    </row>
    <row r="154" spans="2:9" x14ac:dyDescent="0.3">
      <c r="B154" s="19"/>
      <c r="I154" s="19"/>
    </row>
    <row r="155" spans="2:9" x14ac:dyDescent="0.3">
      <c r="B155" s="19"/>
      <c r="I155" s="19"/>
    </row>
    <row r="156" spans="2:9" x14ac:dyDescent="0.3">
      <c r="B156" s="19"/>
      <c r="I156" s="19"/>
    </row>
    <row r="157" spans="2:9" x14ac:dyDescent="0.3">
      <c r="B157" s="19"/>
      <c r="I157" s="19"/>
    </row>
    <row r="158" spans="2:9" x14ac:dyDescent="0.3">
      <c r="B158" s="19"/>
      <c r="I158" s="19"/>
    </row>
    <row r="159" spans="2:9" x14ac:dyDescent="0.3">
      <c r="B159" s="19"/>
      <c r="I159" s="19"/>
    </row>
    <row r="160" spans="2:9" x14ac:dyDescent="0.3">
      <c r="B160" s="19"/>
      <c r="I160" s="19"/>
    </row>
    <row r="161" spans="2:9" x14ac:dyDescent="0.3">
      <c r="B161" s="19"/>
      <c r="I161" s="19"/>
    </row>
    <row r="162" spans="2:9" x14ac:dyDescent="0.3">
      <c r="B162" s="19"/>
      <c r="I162" s="19"/>
    </row>
    <row r="163" spans="2:9" x14ac:dyDescent="0.3">
      <c r="B163" s="19"/>
      <c r="I163" s="19"/>
    </row>
    <row r="164" spans="2:9" x14ac:dyDescent="0.3">
      <c r="B164" s="19"/>
      <c r="I164" s="19"/>
    </row>
    <row r="165" spans="2:9" x14ac:dyDescent="0.3">
      <c r="B165" s="19"/>
      <c r="I165" s="19"/>
    </row>
    <row r="166" spans="2:9" x14ac:dyDescent="0.3">
      <c r="B166" s="19"/>
      <c r="I166" s="19"/>
    </row>
    <row r="167" spans="2:9" x14ac:dyDescent="0.3">
      <c r="B167" s="19"/>
      <c r="I167" s="19"/>
    </row>
    <row r="168" spans="2:9" x14ac:dyDescent="0.3">
      <c r="B168" s="19"/>
      <c r="I168" s="19"/>
    </row>
    <row r="169" spans="2:9" x14ac:dyDescent="0.3">
      <c r="B169" s="19"/>
      <c r="I169" s="19"/>
    </row>
    <row r="170" spans="2:9" x14ac:dyDescent="0.3">
      <c r="B170" s="19"/>
      <c r="I170" s="19"/>
    </row>
    <row r="171" spans="2:9" x14ac:dyDescent="0.3">
      <c r="B171" s="19"/>
      <c r="I171" s="19"/>
    </row>
    <row r="172" spans="2:9" x14ac:dyDescent="0.3">
      <c r="B172" s="19"/>
      <c r="I172" s="19"/>
    </row>
    <row r="173" spans="2:9" x14ac:dyDescent="0.3">
      <c r="B173" s="19"/>
      <c r="I173" s="19"/>
    </row>
    <row r="174" spans="2:9" x14ac:dyDescent="0.3">
      <c r="B174" s="19"/>
      <c r="I174" s="19"/>
    </row>
    <row r="175" spans="2:9" x14ac:dyDescent="0.3">
      <c r="B175" s="19"/>
      <c r="I175" s="19"/>
    </row>
    <row r="176" spans="2:9" x14ac:dyDescent="0.3">
      <c r="B176" s="19"/>
      <c r="I176" s="19"/>
    </row>
    <row r="177" spans="2:9" x14ac:dyDescent="0.3">
      <c r="B177" s="19"/>
      <c r="I177" s="19"/>
    </row>
    <row r="178" spans="2:9" x14ac:dyDescent="0.3">
      <c r="B178" s="19"/>
      <c r="I178" s="19"/>
    </row>
    <row r="179" spans="2:9" x14ac:dyDescent="0.3">
      <c r="B179" s="19"/>
      <c r="I179" s="19"/>
    </row>
    <row r="180" spans="2:9" x14ac:dyDescent="0.3">
      <c r="B180" s="19"/>
      <c r="I180" s="19"/>
    </row>
    <row r="181" spans="2:9" x14ac:dyDescent="0.3">
      <c r="B181" s="19"/>
      <c r="I181" s="19"/>
    </row>
    <row r="182" spans="2:9" x14ac:dyDescent="0.3">
      <c r="B182" s="19"/>
      <c r="I182" s="19"/>
    </row>
    <row r="183" spans="2:9" x14ac:dyDescent="0.3">
      <c r="B183" s="19"/>
      <c r="I183" s="19"/>
    </row>
    <row r="184" spans="2:9" x14ac:dyDescent="0.3">
      <c r="B184" s="19"/>
      <c r="I184" s="19"/>
    </row>
    <row r="185" spans="2:9" x14ac:dyDescent="0.3">
      <c r="B185" s="19"/>
      <c r="I185" s="19"/>
    </row>
    <row r="186" spans="2:9" x14ac:dyDescent="0.3">
      <c r="B186" s="19"/>
      <c r="I186" s="19"/>
    </row>
    <row r="187" spans="2:9" x14ac:dyDescent="0.3">
      <c r="B187" s="19"/>
      <c r="I187" s="19"/>
    </row>
    <row r="188" spans="2:9" x14ac:dyDescent="0.3">
      <c r="B188" s="19"/>
      <c r="I188" s="19"/>
    </row>
    <row r="189" spans="2:9" x14ac:dyDescent="0.3">
      <c r="B189" s="19"/>
      <c r="I189" s="19"/>
    </row>
    <row r="190" spans="2:9" x14ac:dyDescent="0.3">
      <c r="B190" s="19"/>
      <c r="I190" s="19"/>
    </row>
    <row r="191" spans="2:9" x14ac:dyDescent="0.3">
      <c r="B191" s="19"/>
      <c r="I191" s="19"/>
    </row>
    <row r="192" spans="2:9" x14ac:dyDescent="0.3">
      <c r="B192" s="19"/>
      <c r="I192" s="19"/>
    </row>
    <row r="193" spans="2:9" x14ac:dyDescent="0.3">
      <c r="B193" s="19"/>
      <c r="I193" s="19"/>
    </row>
    <row r="194" spans="2:9" x14ac:dyDescent="0.3">
      <c r="B194" s="19"/>
      <c r="I194" s="19"/>
    </row>
    <row r="195" spans="2:9" x14ac:dyDescent="0.3">
      <c r="B195" s="19"/>
      <c r="I195" s="19"/>
    </row>
    <row r="196" spans="2:9" x14ac:dyDescent="0.3">
      <c r="B196" s="19"/>
      <c r="I196" s="19"/>
    </row>
    <row r="197" spans="2:9" x14ac:dyDescent="0.3">
      <c r="B197" s="19"/>
      <c r="I197" s="19"/>
    </row>
    <row r="198" spans="2:9" x14ac:dyDescent="0.3">
      <c r="B198" s="19"/>
      <c r="I198" s="19"/>
    </row>
    <row r="199" spans="2:9" x14ac:dyDescent="0.3">
      <c r="B199" s="19"/>
      <c r="I199" s="19"/>
    </row>
    <row r="200" spans="2:9" x14ac:dyDescent="0.3">
      <c r="B200" s="19"/>
      <c r="I200" s="19"/>
    </row>
    <row r="201" spans="2:9" x14ac:dyDescent="0.3">
      <c r="B201" s="19"/>
      <c r="I201" s="19"/>
    </row>
    <row r="202" spans="2:9" x14ac:dyDescent="0.3">
      <c r="B202" s="19"/>
      <c r="I202" s="19"/>
    </row>
    <row r="203" spans="2:9" x14ac:dyDescent="0.3">
      <c r="B203" s="19"/>
      <c r="I203" s="19"/>
    </row>
    <row r="204" spans="2:9" x14ac:dyDescent="0.3">
      <c r="B204" s="19"/>
      <c r="I204" s="19"/>
    </row>
    <row r="205" spans="2:9" x14ac:dyDescent="0.3">
      <c r="B205" s="19"/>
      <c r="I205" s="19"/>
    </row>
    <row r="206" spans="2:9" x14ac:dyDescent="0.3">
      <c r="B206" s="19"/>
      <c r="I206" s="19"/>
    </row>
    <row r="207" spans="2:9" x14ac:dyDescent="0.3">
      <c r="B207" s="19"/>
      <c r="I207" s="19"/>
    </row>
    <row r="208" spans="2:9" x14ac:dyDescent="0.3">
      <c r="B208" s="19"/>
      <c r="I208" s="19"/>
    </row>
    <row r="209" spans="2:9" x14ac:dyDescent="0.3">
      <c r="B209" s="19"/>
      <c r="I209" s="19"/>
    </row>
    <row r="210" spans="2:9" x14ac:dyDescent="0.3">
      <c r="B210" s="19"/>
      <c r="I210" s="19"/>
    </row>
    <row r="211" spans="2:9" x14ac:dyDescent="0.3">
      <c r="B211" s="19"/>
      <c r="I211" s="19"/>
    </row>
    <row r="212" spans="2:9" x14ac:dyDescent="0.3">
      <c r="B212" s="19"/>
      <c r="I212" s="19"/>
    </row>
    <row r="213" spans="2:9" x14ac:dyDescent="0.3">
      <c r="B213" s="19"/>
      <c r="I213" s="19"/>
    </row>
    <row r="214" spans="2:9" x14ac:dyDescent="0.3">
      <c r="B214" s="19"/>
      <c r="I214" s="19"/>
    </row>
    <row r="215" spans="2:9" x14ac:dyDescent="0.3">
      <c r="B215" s="19"/>
      <c r="I215" s="19"/>
    </row>
    <row r="216" spans="2:9" x14ac:dyDescent="0.3">
      <c r="B216" s="19"/>
      <c r="I216" s="19"/>
    </row>
    <row r="217" spans="2:9" x14ac:dyDescent="0.3">
      <c r="B217" s="19"/>
      <c r="I217" s="19"/>
    </row>
    <row r="218" spans="2:9" x14ac:dyDescent="0.3">
      <c r="B218" s="19"/>
      <c r="I218" s="19"/>
    </row>
    <row r="219" spans="2:9" x14ac:dyDescent="0.3">
      <c r="B219" s="19"/>
      <c r="I219" s="19"/>
    </row>
    <row r="220" spans="2:9" x14ac:dyDescent="0.3">
      <c r="B220" s="19"/>
      <c r="I220" s="19"/>
    </row>
    <row r="221" spans="2:9" x14ac:dyDescent="0.3">
      <c r="B221" s="19"/>
      <c r="I221" s="19"/>
    </row>
    <row r="222" spans="2:9" x14ac:dyDescent="0.3">
      <c r="B222" s="19"/>
      <c r="I222" s="19"/>
    </row>
    <row r="223" spans="2:9" x14ac:dyDescent="0.3">
      <c r="B223" s="19"/>
      <c r="I223" s="19"/>
    </row>
    <row r="224" spans="2:9" x14ac:dyDescent="0.3">
      <c r="B224" s="19"/>
      <c r="I224" s="19"/>
    </row>
    <row r="225" spans="2:9" x14ac:dyDescent="0.3">
      <c r="B225" s="19"/>
      <c r="I225" s="19"/>
    </row>
    <row r="226" spans="2:9" x14ac:dyDescent="0.3">
      <c r="B226" s="19"/>
      <c r="I226" s="19"/>
    </row>
    <row r="227" spans="2:9" x14ac:dyDescent="0.3">
      <c r="B227" s="19"/>
      <c r="I227" s="19"/>
    </row>
    <row r="228" spans="2:9" x14ac:dyDescent="0.3">
      <c r="B228" s="19"/>
      <c r="I228" s="19"/>
    </row>
    <row r="229" spans="2:9" x14ac:dyDescent="0.3">
      <c r="B229" s="19"/>
      <c r="I229" s="19"/>
    </row>
    <row r="230" spans="2:9" x14ac:dyDescent="0.3">
      <c r="B230" s="19"/>
      <c r="I230" s="19"/>
    </row>
    <row r="231" spans="2:9" x14ac:dyDescent="0.3">
      <c r="B231" s="19"/>
      <c r="I231" s="19"/>
    </row>
    <row r="232" spans="2:9" x14ac:dyDescent="0.3">
      <c r="B232" s="19"/>
      <c r="I232" s="19"/>
    </row>
    <row r="233" spans="2:9" x14ac:dyDescent="0.3">
      <c r="B233" s="19"/>
      <c r="I233" s="19"/>
    </row>
    <row r="234" spans="2:9" x14ac:dyDescent="0.3">
      <c r="B234" s="19"/>
      <c r="I234" s="19"/>
    </row>
    <row r="235" spans="2:9" x14ac:dyDescent="0.3">
      <c r="B235" s="19"/>
      <c r="I235" s="19"/>
    </row>
    <row r="236" spans="2:9" x14ac:dyDescent="0.3">
      <c r="B236" s="19"/>
      <c r="I236" s="19"/>
    </row>
    <row r="237" spans="2:9" x14ac:dyDescent="0.3">
      <c r="B237" s="19"/>
      <c r="I237" s="19"/>
    </row>
    <row r="238" spans="2:9" x14ac:dyDescent="0.3">
      <c r="B238" s="19"/>
      <c r="I238" s="19"/>
    </row>
    <row r="239" spans="2:9" x14ac:dyDescent="0.3">
      <c r="B239" s="19"/>
      <c r="I239" s="19"/>
    </row>
    <row r="240" spans="2:9" x14ac:dyDescent="0.3">
      <c r="B240" s="19"/>
      <c r="I240" s="19"/>
    </row>
    <row r="241" spans="2:9" x14ac:dyDescent="0.3">
      <c r="B241" s="19"/>
      <c r="I241" s="19"/>
    </row>
    <row r="242" spans="2:9" x14ac:dyDescent="0.3">
      <c r="B242" s="19"/>
      <c r="I242" s="19"/>
    </row>
    <row r="243" spans="2:9" x14ac:dyDescent="0.3">
      <c r="B243" s="19"/>
      <c r="I243" s="19"/>
    </row>
    <row r="244" spans="2:9" x14ac:dyDescent="0.3">
      <c r="B244" s="19"/>
      <c r="I244" s="19"/>
    </row>
    <row r="245" spans="2:9" x14ac:dyDescent="0.3">
      <c r="B245" s="19"/>
      <c r="I245" s="19"/>
    </row>
    <row r="246" spans="2:9" x14ac:dyDescent="0.3">
      <c r="B246" s="19"/>
      <c r="I246" s="19"/>
    </row>
    <row r="247" spans="2:9" x14ac:dyDescent="0.3">
      <c r="B247" s="19"/>
      <c r="I247" s="19"/>
    </row>
    <row r="248" spans="2:9" x14ac:dyDescent="0.3">
      <c r="B248" s="19"/>
      <c r="I248" s="19"/>
    </row>
    <row r="249" spans="2:9" x14ac:dyDescent="0.3">
      <c r="B249" s="19"/>
      <c r="I249" s="19"/>
    </row>
    <row r="250" spans="2:9" x14ac:dyDescent="0.3">
      <c r="B250" s="19"/>
      <c r="I250" s="19"/>
    </row>
    <row r="251" spans="2:9" x14ac:dyDescent="0.3">
      <c r="B251" s="19"/>
      <c r="I251" s="19"/>
    </row>
    <row r="252" spans="2:9" x14ac:dyDescent="0.3">
      <c r="B252" s="19"/>
      <c r="I252" s="19"/>
    </row>
    <row r="253" spans="2:9" x14ac:dyDescent="0.3">
      <c r="B253" s="19"/>
      <c r="I253" s="19"/>
    </row>
    <row r="254" spans="2:9" x14ac:dyDescent="0.3">
      <c r="B254" s="19"/>
      <c r="I254" s="19"/>
    </row>
    <row r="255" spans="2:9" x14ac:dyDescent="0.3">
      <c r="B255" s="19"/>
      <c r="I255" s="19"/>
    </row>
    <row r="256" spans="2:9" x14ac:dyDescent="0.3">
      <c r="B256" s="19"/>
      <c r="I256" s="19"/>
    </row>
    <row r="257" spans="2:9" x14ac:dyDescent="0.3">
      <c r="B257" s="19"/>
      <c r="I257" s="19"/>
    </row>
    <row r="258" spans="2:9" x14ac:dyDescent="0.3">
      <c r="B258" s="19"/>
      <c r="I258" s="19"/>
    </row>
    <row r="259" spans="2:9" x14ac:dyDescent="0.3">
      <c r="B259" s="19"/>
      <c r="I259" s="19"/>
    </row>
    <row r="260" spans="2:9" x14ac:dyDescent="0.3">
      <c r="B260" s="19"/>
      <c r="I260" s="19"/>
    </row>
    <row r="261" spans="2:9" x14ac:dyDescent="0.3">
      <c r="B261" s="19"/>
      <c r="I261" s="19"/>
    </row>
    <row r="262" spans="2:9" x14ac:dyDescent="0.3">
      <c r="B262" s="19"/>
      <c r="I262" s="19"/>
    </row>
    <row r="263" spans="2:9" x14ac:dyDescent="0.3">
      <c r="B263" s="19"/>
      <c r="I263" s="19"/>
    </row>
    <row r="264" spans="2:9" x14ac:dyDescent="0.3">
      <c r="B264" s="19"/>
      <c r="I264" s="19"/>
    </row>
    <row r="265" spans="2:9" x14ac:dyDescent="0.3">
      <c r="B265" s="19"/>
      <c r="I265" s="19"/>
    </row>
    <row r="266" spans="2:9" x14ac:dyDescent="0.3">
      <c r="B266" s="19"/>
      <c r="I266" s="19"/>
    </row>
    <row r="267" spans="2:9" x14ac:dyDescent="0.3">
      <c r="B267" s="19"/>
      <c r="I267" s="19"/>
    </row>
    <row r="268" spans="2:9" x14ac:dyDescent="0.3">
      <c r="B268" s="19"/>
      <c r="I268" s="19"/>
    </row>
    <row r="269" spans="2:9" x14ac:dyDescent="0.3">
      <c r="B269" s="19"/>
      <c r="I269" s="19"/>
    </row>
    <row r="270" spans="2:9" x14ac:dyDescent="0.3">
      <c r="B270" s="19"/>
      <c r="I270" s="19"/>
    </row>
    <row r="271" spans="2:9" x14ac:dyDescent="0.3">
      <c r="B271" s="19"/>
      <c r="I271" s="19"/>
    </row>
    <row r="272" spans="2:9" x14ac:dyDescent="0.3">
      <c r="B272" s="19"/>
      <c r="I272" s="19"/>
    </row>
    <row r="273" spans="2:9" x14ac:dyDescent="0.3">
      <c r="B273" s="19"/>
      <c r="I273" s="19"/>
    </row>
    <row r="274" spans="2:9" x14ac:dyDescent="0.3">
      <c r="B274" s="19"/>
      <c r="I274" s="19"/>
    </row>
    <row r="275" spans="2:9" x14ac:dyDescent="0.3">
      <c r="B275" s="19"/>
      <c r="I275" s="19"/>
    </row>
    <row r="276" spans="2:9" x14ac:dyDescent="0.3">
      <c r="B276" s="19"/>
      <c r="I276" s="19"/>
    </row>
    <row r="277" spans="2:9" x14ac:dyDescent="0.3">
      <c r="B277" s="19"/>
      <c r="I277" s="19"/>
    </row>
    <row r="278" spans="2:9" x14ac:dyDescent="0.3">
      <c r="B278" s="19"/>
      <c r="I278" s="19"/>
    </row>
    <row r="279" spans="2:9" x14ac:dyDescent="0.3">
      <c r="B279" s="19"/>
      <c r="I279" s="19"/>
    </row>
    <row r="280" spans="2:9" x14ac:dyDescent="0.3">
      <c r="B280" s="19"/>
      <c r="I280" s="19"/>
    </row>
    <row r="281" spans="2:9" x14ac:dyDescent="0.3">
      <c r="B281" s="19"/>
      <c r="I281" s="19"/>
    </row>
    <row r="282" spans="2:9" x14ac:dyDescent="0.3">
      <c r="B282" s="19"/>
      <c r="I282" s="19"/>
    </row>
    <row r="283" spans="2:9" x14ac:dyDescent="0.3">
      <c r="B283" s="19"/>
      <c r="I283" s="19"/>
    </row>
    <row r="284" spans="2:9" x14ac:dyDescent="0.3">
      <c r="B284" s="19"/>
      <c r="I284" s="19"/>
    </row>
    <row r="285" spans="2:9" x14ac:dyDescent="0.3">
      <c r="B285" s="19"/>
      <c r="I285" s="19"/>
    </row>
    <row r="286" spans="2:9" x14ac:dyDescent="0.3">
      <c r="B286" s="19"/>
      <c r="I286" s="19"/>
    </row>
    <row r="287" spans="2:9" x14ac:dyDescent="0.3">
      <c r="B287" s="19"/>
      <c r="I287" s="19"/>
    </row>
    <row r="288" spans="2:9" x14ac:dyDescent="0.3">
      <c r="B288" s="19"/>
      <c r="I288" s="19"/>
    </row>
    <row r="289" spans="2:9" x14ac:dyDescent="0.3">
      <c r="B289" s="19"/>
      <c r="I289" s="19"/>
    </row>
    <row r="290" spans="2:9" x14ac:dyDescent="0.3">
      <c r="B290" s="19"/>
      <c r="I290" s="19"/>
    </row>
    <row r="291" spans="2:9" x14ac:dyDescent="0.3">
      <c r="B291" s="19"/>
      <c r="I291" s="19"/>
    </row>
    <row r="292" spans="2:9" x14ac:dyDescent="0.3">
      <c r="B292" s="19"/>
      <c r="I292" s="19"/>
    </row>
    <row r="293" spans="2:9" x14ac:dyDescent="0.3">
      <c r="B293" s="19"/>
      <c r="I293" s="19"/>
    </row>
    <row r="294" spans="2:9" x14ac:dyDescent="0.3">
      <c r="B294" s="19"/>
      <c r="I294" s="19"/>
    </row>
    <row r="295" spans="2:9" x14ac:dyDescent="0.3">
      <c r="B295" s="19"/>
      <c r="I295" s="19"/>
    </row>
    <row r="296" spans="2:9" x14ac:dyDescent="0.3">
      <c r="B296" s="19"/>
      <c r="I296" s="19"/>
    </row>
    <row r="297" spans="2:9" x14ac:dyDescent="0.3">
      <c r="B297" s="19"/>
      <c r="I297" s="19"/>
    </row>
    <row r="298" spans="2:9" x14ac:dyDescent="0.3">
      <c r="B298" s="19"/>
      <c r="I298" s="19"/>
    </row>
    <row r="299" spans="2:9" x14ac:dyDescent="0.3">
      <c r="B299" s="19"/>
      <c r="I299" s="19"/>
    </row>
    <row r="300" spans="2:9" x14ac:dyDescent="0.3">
      <c r="B300" s="19"/>
      <c r="I300" s="19"/>
    </row>
    <row r="301" spans="2:9" x14ac:dyDescent="0.3">
      <c r="B301" s="19"/>
      <c r="I301" s="19"/>
    </row>
    <row r="302" spans="2:9" x14ac:dyDescent="0.3">
      <c r="B302" s="19"/>
      <c r="I302" s="19"/>
    </row>
    <row r="303" spans="2:9" x14ac:dyDescent="0.3">
      <c r="B303" s="19"/>
      <c r="I303" s="19"/>
    </row>
    <row r="304" spans="2:9" x14ac:dyDescent="0.3">
      <c r="B304" s="19"/>
      <c r="I304" s="19"/>
    </row>
    <row r="305" spans="2:9" x14ac:dyDescent="0.3">
      <c r="B305" s="19"/>
      <c r="I305" s="19"/>
    </row>
    <row r="306" spans="2:9" x14ac:dyDescent="0.3">
      <c r="B306" s="19"/>
      <c r="I306" s="19"/>
    </row>
    <row r="307" spans="2:9" x14ac:dyDescent="0.3">
      <c r="B307" s="19"/>
      <c r="I307" s="19"/>
    </row>
    <row r="308" spans="2:9" x14ac:dyDescent="0.3">
      <c r="B308" s="19"/>
      <c r="I308" s="19"/>
    </row>
    <row r="309" spans="2:9" x14ac:dyDescent="0.3">
      <c r="B309" s="19"/>
      <c r="I309" s="19"/>
    </row>
    <row r="310" spans="2:9" x14ac:dyDescent="0.3">
      <c r="B310" s="19"/>
      <c r="I310" s="19"/>
    </row>
    <row r="311" spans="2:9" x14ac:dyDescent="0.3">
      <c r="B311" s="19"/>
      <c r="I311" s="19"/>
    </row>
    <row r="312" spans="2:9" x14ac:dyDescent="0.3">
      <c r="B312" s="19"/>
      <c r="I312" s="19"/>
    </row>
    <row r="313" spans="2:9" x14ac:dyDescent="0.3">
      <c r="B313" s="19"/>
      <c r="I313" s="19"/>
    </row>
    <row r="314" spans="2:9" x14ac:dyDescent="0.3">
      <c r="B314" s="19"/>
      <c r="I314" s="19"/>
    </row>
    <row r="315" spans="2:9" x14ac:dyDescent="0.3">
      <c r="B315" s="19"/>
      <c r="I315" s="19"/>
    </row>
    <row r="316" spans="2:9" x14ac:dyDescent="0.3">
      <c r="B316" s="19"/>
      <c r="I316" s="19"/>
    </row>
    <row r="317" spans="2:9" x14ac:dyDescent="0.3">
      <c r="B317" s="19"/>
      <c r="I317" s="19"/>
    </row>
    <row r="318" spans="2:9" x14ac:dyDescent="0.3">
      <c r="B318" s="19"/>
      <c r="I318" s="19"/>
    </row>
    <row r="319" spans="2:9" x14ac:dyDescent="0.3">
      <c r="B319" s="19"/>
      <c r="I319" s="19"/>
    </row>
    <row r="320" spans="2:9" x14ac:dyDescent="0.3">
      <c r="B320" s="19"/>
      <c r="I320" s="19"/>
    </row>
    <row r="321" spans="2:9" x14ac:dyDescent="0.3">
      <c r="B321" s="19"/>
      <c r="I321" s="19"/>
    </row>
    <row r="322" spans="2:9" x14ac:dyDescent="0.3">
      <c r="B322" s="19"/>
      <c r="I322" s="19"/>
    </row>
    <row r="323" spans="2:9" x14ac:dyDescent="0.3">
      <c r="B323" s="19"/>
      <c r="I323" s="19"/>
    </row>
    <row r="324" spans="2:9" x14ac:dyDescent="0.3">
      <c r="B324" s="19"/>
      <c r="I324" s="19"/>
    </row>
    <row r="325" spans="2:9" x14ac:dyDescent="0.3">
      <c r="B325" s="19"/>
      <c r="I325" s="19"/>
    </row>
    <row r="326" spans="2:9" x14ac:dyDescent="0.3">
      <c r="B326" s="19"/>
      <c r="I326" s="19"/>
    </row>
    <row r="327" spans="2:9" x14ac:dyDescent="0.3">
      <c r="B327" s="19"/>
      <c r="I327" s="19"/>
    </row>
    <row r="328" spans="2:9" x14ac:dyDescent="0.3">
      <c r="B328" s="19"/>
      <c r="I328" s="19"/>
    </row>
    <row r="329" spans="2:9" x14ac:dyDescent="0.3">
      <c r="B329" s="19"/>
      <c r="I329" s="19"/>
    </row>
    <row r="330" spans="2:9" x14ac:dyDescent="0.3">
      <c r="B330" s="19"/>
      <c r="I330" s="19"/>
    </row>
    <row r="331" spans="2:9" x14ac:dyDescent="0.3">
      <c r="B331" s="19"/>
      <c r="I331" s="19"/>
    </row>
    <row r="332" spans="2:9" x14ac:dyDescent="0.3">
      <c r="B332" s="19"/>
      <c r="I332" s="19"/>
    </row>
    <row r="333" spans="2:9" x14ac:dyDescent="0.3">
      <c r="B333" s="19"/>
      <c r="I333" s="19"/>
    </row>
    <row r="334" spans="2:9" x14ac:dyDescent="0.3">
      <c r="B334" s="19"/>
      <c r="I334" s="19"/>
    </row>
    <row r="335" spans="2:9" x14ac:dyDescent="0.3">
      <c r="B335" s="19"/>
      <c r="I335" s="19"/>
    </row>
    <row r="336" spans="2:9" x14ac:dyDescent="0.3">
      <c r="B336" s="19"/>
      <c r="I336" s="19"/>
    </row>
    <row r="337" spans="2:9" x14ac:dyDescent="0.3">
      <c r="B337" s="19"/>
      <c r="I337" s="19"/>
    </row>
    <row r="338" spans="2:9" x14ac:dyDescent="0.3">
      <c r="B338" s="19"/>
      <c r="I338" s="19"/>
    </row>
    <row r="339" spans="2:9" x14ac:dyDescent="0.3">
      <c r="B339" s="19"/>
      <c r="I339" s="19"/>
    </row>
    <row r="340" spans="2:9" x14ac:dyDescent="0.3">
      <c r="B340" s="19"/>
      <c r="I340" s="19"/>
    </row>
    <row r="341" spans="2:9" x14ac:dyDescent="0.3">
      <c r="B341" s="19"/>
      <c r="I341" s="19"/>
    </row>
    <row r="342" spans="2:9" x14ac:dyDescent="0.3">
      <c r="B342" s="19"/>
      <c r="I342" s="19"/>
    </row>
    <row r="343" spans="2:9" x14ac:dyDescent="0.3">
      <c r="B343" s="19"/>
      <c r="I343" s="19"/>
    </row>
    <row r="344" spans="2:9" x14ac:dyDescent="0.3">
      <c r="B344" s="19"/>
      <c r="I344" s="19"/>
    </row>
    <row r="345" spans="2:9" x14ac:dyDescent="0.3">
      <c r="B345" s="19"/>
      <c r="I345" s="19"/>
    </row>
    <row r="346" spans="2:9" x14ac:dyDescent="0.3">
      <c r="B346" s="19"/>
      <c r="I346" s="19"/>
    </row>
    <row r="347" spans="2:9" x14ac:dyDescent="0.3">
      <c r="B347" s="19"/>
      <c r="I347" s="19"/>
    </row>
    <row r="348" spans="2:9" x14ac:dyDescent="0.3">
      <c r="B348" s="19"/>
      <c r="I348" s="19"/>
    </row>
    <row r="349" spans="2:9" x14ac:dyDescent="0.3">
      <c r="B349" s="19"/>
      <c r="I349" s="19"/>
    </row>
    <row r="350" spans="2:9" x14ac:dyDescent="0.3">
      <c r="B350" s="19"/>
      <c r="I350" s="19"/>
    </row>
    <row r="351" spans="2:9" x14ac:dyDescent="0.3">
      <c r="B351" s="19"/>
      <c r="I351" s="19"/>
    </row>
    <row r="352" spans="2:9" x14ac:dyDescent="0.3">
      <c r="B352" s="19"/>
      <c r="I352" s="19"/>
    </row>
    <row r="353" spans="2:9" x14ac:dyDescent="0.3">
      <c r="B353" s="19"/>
      <c r="I353" s="19"/>
    </row>
    <row r="354" spans="2:9" x14ac:dyDescent="0.3">
      <c r="B354" s="19"/>
      <c r="I354" s="19"/>
    </row>
    <row r="355" spans="2:9" x14ac:dyDescent="0.3">
      <c r="B355" s="19"/>
      <c r="I355" s="19"/>
    </row>
    <row r="356" spans="2:9" x14ac:dyDescent="0.3">
      <c r="B356" s="19"/>
      <c r="I356" s="19"/>
    </row>
    <row r="357" spans="2:9" x14ac:dyDescent="0.3">
      <c r="B357" s="19"/>
      <c r="I357" s="19"/>
    </row>
    <row r="358" spans="2:9" x14ac:dyDescent="0.3">
      <c r="B358" s="19"/>
      <c r="I358" s="19"/>
    </row>
    <row r="359" spans="2:9" x14ac:dyDescent="0.3">
      <c r="B359" s="19"/>
      <c r="I359" s="19"/>
    </row>
    <row r="360" spans="2:9" x14ac:dyDescent="0.3">
      <c r="B360" s="19"/>
      <c r="I360" s="19"/>
    </row>
    <row r="361" spans="2:9" x14ac:dyDescent="0.3">
      <c r="B361" s="19"/>
      <c r="I361" s="19"/>
    </row>
    <row r="362" spans="2:9" x14ac:dyDescent="0.3">
      <c r="B362" s="19"/>
      <c r="I362" s="19"/>
    </row>
    <row r="363" spans="2:9" x14ac:dyDescent="0.3">
      <c r="B363" s="19"/>
      <c r="I363" s="19"/>
    </row>
    <row r="364" spans="2:9" x14ac:dyDescent="0.3">
      <c r="B364" s="19"/>
      <c r="I364" s="19"/>
    </row>
    <row r="365" spans="2:9" x14ac:dyDescent="0.3">
      <c r="B365" s="19"/>
      <c r="I365" s="19"/>
    </row>
    <row r="366" spans="2:9" x14ac:dyDescent="0.3">
      <c r="B366" s="19"/>
      <c r="I366" s="19"/>
    </row>
    <row r="367" spans="2:9" x14ac:dyDescent="0.3">
      <c r="B367" s="19"/>
      <c r="I367" s="19"/>
    </row>
    <row r="368" spans="2:9" x14ac:dyDescent="0.3">
      <c r="B368" s="19"/>
      <c r="I368" s="19"/>
    </row>
    <row r="369" spans="2:9" x14ac:dyDescent="0.3">
      <c r="B369" s="19"/>
      <c r="I369" s="19"/>
    </row>
    <row r="370" spans="2:9" x14ac:dyDescent="0.3">
      <c r="B370" s="19"/>
      <c r="I370" s="19"/>
    </row>
    <row r="371" spans="2:9" x14ac:dyDescent="0.3">
      <c r="B371" s="19"/>
      <c r="I371" s="19"/>
    </row>
    <row r="372" spans="2:9" x14ac:dyDescent="0.3">
      <c r="B372" s="19"/>
      <c r="I372" s="19"/>
    </row>
    <row r="373" spans="2:9" x14ac:dyDescent="0.3">
      <c r="B373" s="19"/>
      <c r="I373" s="19"/>
    </row>
    <row r="374" spans="2:9" x14ac:dyDescent="0.3">
      <c r="B374" s="19"/>
      <c r="I374" s="19"/>
    </row>
    <row r="375" spans="2:9" x14ac:dyDescent="0.3">
      <c r="B375" s="19"/>
      <c r="I375" s="19"/>
    </row>
    <row r="376" spans="2:9" x14ac:dyDescent="0.3">
      <c r="B376" s="19"/>
      <c r="I376" s="19"/>
    </row>
    <row r="377" spans="2:9" x14ac:dyDescent="0.3">
      <c r="B377" s="19"/>
      <c r="I377" s="19"/>
    </row>
    <row r="378" spans="2:9" x14ac:dyDescent="0.3">
      <c r="B378" s="19"/>
      <c r="I378" s="19"/>
    </row>
    <row r="379" spans="2:9" x14ac:dyDescent="0.3">
      <c r="B379" s="19"/>
      <c r="I379" s="19"/>
    </row>
    <row r="380" spans="2:9" x14ac:dyDescent="0.3">
      <c r="B380" s="19"/>
      <c r="I380" s="19"/>
    </row>
    <row r="381" spans="2:9" x14ac:dyDescent="0.3">
      <c r="B381" s="19"/>
      <c r="I381" s="19"/>
    </row>
    <row r="382" spans="2:9" x14ac:dyDescent="0.3">
      <c r="B382" s="19"/>
      <c r="I382" s="19"/>
    </row>
    <row r="383" spans="2:9" x14ac:dyDescent="0.3">
      <c r="B383" s="19"/>
      <c r="I383" s="19"/>
    </row>
    <row r="384" spans="2:9" x14ac:dyDescent="0.3">
      <c r="B384" s="19"/>
      <c r="I384" s="19"/>
    </row>
    <row r="385" spans="2:9" x14ac:dyDescent="0.3">
      <c r="B385" s="19"/>
      <c r="I385" s="19"/>
    </row>
    <row r="386" spans="2:9" x14ac:dyDescent="0.3">
      <c r="B386" s="19"/>
      <c r="I386" s="19"/>
    </row>
    <row r="387" spans="2:9" x14ac:dyDescent="0.3">
      <c r="B387" s="19"/>
      <c r="I387" s="19"/>
    </row>
    <row r="388" spans="2:9" x14ac:dyDescent="0.3">
      <c r="B388" s="19"/>
      <c r="I388" s="19"/>
    </row>
    <row r="389" spans="2:9" x14ac:dyDescent="0.3">
      <c r="B389" s="19"/>
      <c r="I389" s="19"/>
    </row>
    <row r="390" spans="2:9" x14ac:dyDescent="0.3">
      <c r="B390" s="19"/>
      <c r="I390" s="19"/>
    </row>
    <row r="391" spans="2:9" x14ac:dyDescent="0.3">
      <c r="B391" s="19"/>
      <c r="I391" s="19"/>
    </row>
    <row r="392" spans="2:9" x14ac:dyDescent="0.3">
      <c r="B392" s="19"/>
      <c r="I392" s="19"/>
    </row>
    <row r="393" spans="2:9" x14ac:dyDescent="0.3">
      <c r="B393" s="19"/>
      <c r="I393" s="19"/>
    </row>
    <row r="394" spans="2:9" x14ac:dyDescent="0.3">
      <c r="B394" s="19"/>
      <c r="I394" s="19"/>
    </row>
    <row r="395" spans="2:9" x14ac:dyDescent="0.3">
      <c r="B395" s="19"/>
      <c r="I395" s="19"/>
    </row>
    <row r="396" spans="2:9" x14ac:dyDescent="0.3">
      <c r="B396" s="19"/>
      <c r="I396" s="19"/>
    </row>
    <row r="397" spans="2:9" x14ac:dyDescent="0.3">
      <c r="B397" s="19"/>
      <c r="I397" s="19"/>
    </row>
    <row r="398" spans="2:9" x14ac:dyDescent="0.3">
      <c r="B398" s="19"/>
      <c r="I398" s="19"/>
    </row>
    <row r="399" spans="2:9" x14ac:dyDescent="0.3">
      <c r="B399" s="19"/>
      <c r="I399" s="19"/>
    </row>
    <row r="400" spans="2:9" x14ac:dyDescent="0.3">
      <c r="B400" s="19"/>
      <c r="I400" s="19"/>
    </row>
    <row r="401" spans="2:9" x14ac:dyDescent="0.3">
      <c r="B401" s="19"/>
      <c r="I401" s="19"/>
    </row>
    <row r="402" spans="2:9" x14ac:dyDescent="0.3">
      <c r="B402" s="19"/>
      <c r="I402" s="19"/>
    </row>
    <row r="403" spans="2:9" x14ac:dyDescent="0.3">
      <c r="B403" s="19"/>
      <c r="I403" s="19"/>
    </row>
    <row r="404" spans="2:9" x14ac:dyDescent="0.3">
      <c r="B404" s="19"/>
      <c r="I404" s="19"/>
    </row>
    <row r="405" spans="2:9" x14ac:dyDescent="0.3">
      <c r="B405" s="19"/>
      <c r="I405" s="19"/>
    </row>
    <row r="406" spans="2:9" x14ac:dyDescent="0.3">
      <c r="B406" s="19"/>
      <c r="I406" s="19"/>
    </row>
    <row r="407" spans="2:9" x14ac:dyDescent="0.3">
      <c r="B407" s="19"/>
      <c r="I407" s="19"/>
    </row>
    <row r="408" spans="2:9" x14ac:dyDescent="0.3">
      <c r="B408" s="19"/>
      <c r="I408" s="19"/>
    </row>
    <row r="409" spans="2:9" x14ac:dyDescent="0.3">
      <c r="B409" s="19"/>
      <c r="I409" s="19"/>
    </row>
    <row r="410" spans="2:9" x14ac:dyDescent="0.3">
      <c r="B410" s="19"/>
      <c r="I410" s="19"/>
    </row>
    <row r="411" spans="2:9" x14ac:dyDescent="0.3">
      <c r="B411" s="19"/>
      <c r="I411" s="19"/>
    </row>
    <row r="412" spans="2:9" x14ac:dyDescent="0.3">
      <c r="B412" s="19"/>
      <c r="I412" s="19"/>
    </row>
    <row r="413" spans="2:9" x14ac:dyDescent="0.3">
      <c r="B413" s="19"/>
      <c r="I413" s="19"/>
    </row>
    <row r="414" spans="2:9" x14ac:dyDescent="0.3">
      <c r="B414" s="19"/>
      <c r="I414" s="19"/>
    </row>
    <row r="415" spans="2:9" x14ac:dyDescent="0.3">
      <c r="B415" s="19"/>
      <c r="I415" s="19"/>
    </row>
    <row r="416" spans="2:9" x14ac:dyDescent="0.3">
      <c r="B416" s="19"/>
      <c r="I416" s="19"/>
    </row>
    <row r="417" spans="2:9" x14ac:dyDescent="0.3">
      <c r="B417" s="19"/>
      <c r="I417" s="19"/>
    </row>
    <row r="418" spans="2:9" x14ac:dyDescent="0.3">
      <c r="B418" s="19"/>
      <c r="I418" s="19"/>
    </row>
    <row r="419" spans="2:9" x14ac:dyDescent="0.3">
      <c r="B419" s="19"/>
      <c r="I419" s="19"/>
    </row>
    <row r="420" spans="2:9" x14ac:dyDescent="0.3">
      <c r="B420" s="19"/>
      <c r="I420" s="19"/>
    </row>
    <row r="421" spans="2:9" x14ac:dyDescent="0.3">
      <c r="B421" s="19"/>
      <c r="I421" s="19"/>
    </row>
    <row r="422" spans="2:9" x14ac:dyDescent="0.3">
      <c r="B422" s="19"/>
      <c r="I422" s="19"/>
    </row>
    <row r="423" spans="2:9" x14ac:dyDescent="0.3">
      <c r="B423" s="19"/>
      <c r="I423" s="19"/>
    </row>
    <row r="424" spans="2:9" x14ac:dyDescent="0.3">
      <c r="B424" s="19"/>
      <c r="I424" s="19"/>
    </row>
    <row r="425" spans="2:9" x14ac:dyDescent="0.3">
      <c r="B425" s="19"/>
      <c r="I425" s="19"/>
    </row>
    <row r="426" spans="2:9" x14ac:dyDescent="0.3">
      <c r="B426" s="19"/>
      <c r="I426" s="19"/>
    </row>
    <row r="427" spans="2:9" x14ac:dyDescent="0.3">
      <c r="B427" s="19"/>
      <c r="I427" s="19"/>
    </row>
    <row r="428" spans="2:9" x14ac:dyDescent="0.3">
      <c r="B428" s="19"/>
      <c r="I428" s="19"/>
    </row>
    <row r="429" spans="2:9" x14ac:dyDescent="0.3">
      <c r="B429" s="19"/>
      <c r="I429" s="19"/>
    </row>
    <row r="430" spans="2:9" x14ac:dyDescent="0.3">
      <c r="B430" s="19"/>
      <c r="I430" s="19"/>
    </row>
    <row r="431" spans="2:9" x14ac:dyDescent="0.3">
      <c r="B431" s="19"/>
      <c r="I431" s="19"/>
    </row>
    <row r="432" spans="2:9" x14ac:dyDescent="0.3">
      <c r="B432" s="19"/>
      <c r="I432" s="19"/>
    </row>
    <row r="433" spans="2:9" x14ac:dyDescent="0.3">
      <c r="B433" s="19"/>
      <c r="I433" s="19"/>
    </row>
    <row r="434" spans="2:9" x14ac:dyDescent="0.3">
      <c r="B434" s="19"/>
      <c r="I434" s="19"/>
    </row>
    <row r="435" spans="2:9" x14ac:dyDescent="0.3">
      <c r="B435" s="19"/>
      <c r="I435" s="19"/>
    </row>
    <row r="436" spans="2:9" x14ac:dyDescent="0.3">
      <c r="B436" s="19"/>
      <c r="I436" s="19"/>
    </row>
    <row r="437" spans="2:9" x14ac:dyDescent="0.3">
      <c r="B437" s="19"/>
      <c r="I437" s="19"/>
    </row>
    <row r="438" spans="2:9" x14ac:dyDescent="0.3">
      <c r="B438" s="19"/>
      <c r="I438" s="19"/>
    </row>
    <row r="439" spans="2:9" x14ac:dyDescent="0.3">
      <c r="B439" s="19"/>
      <c r="I439" s="19"/>
    </row>
    <row r="440" spans="2:9" x14ac:dyDescent="0.3">
      <c r="B440" s="19"/>
      <c r="I440" s="19"/>
    </row>
    <row r="441" spans="2:9" x14ac:dyDescent="0.3">
      <c r="B441" s="19"/>
      <c r="I441" s="19"/>
    </row>
    <row r="442" spans="2:9" x14ac:dyDescent="0.3">
      <c r="B442" s="19"/>
      <c r="I442" s="19"/>
    </row>
    <row r="443" spans="2:9" x14ac:dyDescent="0.3">
      <c r="B443" s="19"/>
      <c r="I443" s="19"/>
    </row>
    <row r="444" spans="2:9" x14ac:dyDescent="0.3">
      <c r="B444" s="19"/>
      <c r="I444" s="19"/>
    </row>
    <row r="445" spans="2:9" x14ac:dyDescent="0.3">
      <c r="B445" s="19"/>
      <c r="I445" s="19"/>
    </row>
    <row r="446" spans="2:9" x14ac:dyDescent="0.3">
      <c r="B446" s="19"/>
      <c r="I446" s="19"/>
    </row>
    <row r="447" spans="2:9" x14ac:dyDescent="0.3">
      <c r="B447" s="19"/>
      <c r="I447" s="19"/>
    </row>
    <row r="448" spans="2:9" x14ac:dyDescent="0.3">
      <c r="B448" s="19"/>
      <c r="I448" s="19"/>
    </row>
    <row r="449" spans="2:9" x14ac:dyDescent="0.3">
      <c r="B449" s="19"/>
      <c r="I449" s="19"/>
    </row>
    <row r="450" spans="2:9" x14ac:dyDescent="0.3">
      <c r="B450" s="19"/>
      <c r="I450" s="19"/>
    </row>
    <row r="451" spans="2:9" x14ac:dyDescent="0.3">
      <c r="B451" s="19"/>
      <c r="I451" s="19"/>
    </row>
    <row r="452" spans="2:9" x14ac:dyDescent="0.3">
      <c r="B452" s="19"/>
      <c r="I452" s="19"/>
    </row>
    <row r="453" spans="2:9" x14ac:dyDescent="0.3">
      <c r="B453" s="19"/>
      <c r="I453" s="19"/>
    </row>
    <row r="454" spans="2:9" x14ac:dyDescent="0.3">
      <c r="B454" s="19"/>
      <c r="I454" s="19"/>
    </row>
    <row r="455" spans="2:9" x14ac:dyDescent="0.3">
      <c r="B455" s="19"/>
      <c r="I455" s="19"/>
    </row>
    <row r="456" spans="2:9" x14ac:dyDescent="0.3">
      <c r="B456" s="19"/>
      <c r="I456" s="19"/>
    </row>
    <row r="457" spans="2:9" x14ac:dyDescent="0.3">
      <c r="B457" s="19"/>
      <c r="I457" s="19"/>
    </row>
    <row r="458" spans="2:9" x14ac:dyDescent="0.3">
      <c r="B458" s="19"/>
      <c r="I458" s="19"/>
    </row>
    <row r="459" spans="2:9" x14ac:dyDescent="0.3">
      <c r="B459" s="19"/>
      <c r="I459" s="19"/>
    </row>
    <row r="460" spans="2:9" x14ac:dyDescent="0.3">
      <c r="B460" s="19"/>
      <c r="I460" s="19"/>
    </row>
    <row r="461" spans="2:9" x14ac:dyDescent="0.3">
      <c r="B461" s="19"/>
      <c r="I461" s="19"/>
    </row>
    <row r="462" spans="2:9" x14ac:dyDescent="0.3">
      <c r="B462" s="19"/>
      <c r="I462" s="19"/>
    </row>
    <row r="463" spans="2:9" x14ac:dyDescent="0.3">
      <c r="B463" s="19"/>
      <c r="I463" s="19"/>
    </row>
    <row r="464" spans="2:9" x14ac:dyDescent="0.3">
      <c r="B464" s="19"/>
      <c r="I464" s="19"/>
    </row>
    <row r="465" spans="2:9" x14ac:dyDescent="0.3">
      <c r="B465" s="19"/>
      <c r="I465" s="19"/>
    </row>
    <row r="466" spans="2:9" x14ac:dyDescent="0.3">
      <c r="B466" s="19"/>
      <c r="I466" s="19"/>
    </row>
    <row r="467" spans="2:9" x14ac:dyDescent="0.3">
      <c r="B467" s="19"/>
      <c r="I467" s="19"/>
    </row>
    <row r="468" spans="2:9" x14ac:dyDescent="0.3">
      <c r="B468" s="19"/>
      <c r="I468" s="19"/>
    </row>
    <row r="469" spans="2:9" x14ac:dyDescent="0.3">
      <c r="B469" s="19"/>
      <c r="I469" s="19"/>
    </row>
    <row r="470" spans="2:9" x14ac:dyDescent="0.3">
      <c r="B470" s="19"/>
      <c r="I470" s="19"/>
    </row>
    <row r="471" spans="2:9" x14ac:dyDescent="0.3">
      <c r="B471" s="19"/>
      <c r="I471" s="19"/>
    </row>
    <row r="472" spans="2:9" x14ac:dyDescent="0.3">
      <c r="B472" s="19"/>
      <c r="I472" s="19"/>
    </row>
    <row r="473" spans="2:9" x14ac:dyDescent="0.3">
      <c r="B473" s="19"/>
      <c r="I473" s="19"/>
    </row>
    <row r="474" spans="2:9" x14ac:dyDescent="0.3">
      <c r="B474" s="19"/>
      <c r="I474" s="19"/>
    </row>
    <row r="475" spans="2:9" x14ac:dyDescent="0.3">
      <c r="B475" s="19"/>
      <c r="I475" s="19"/>
    </row>
    <row r="476" spans="2:9" x14ac:dyDescent="0.3">
      <c r="B476" s="19"/>
      <c r="I476" s="19"/>
    </row>
    <row r="477" spans="2:9" x14ac:dyDescent="0.3">
      <c r="B477" s="19"/>
      <c r="I477" s="19"/>
    </row>
    <row r="478" spans="2:9" x14ac:dyDescent="0.3">
      <c r="B478" s="19"/>
      <c r="I478" s="19"/>
    </row>
    <row r="479" spans="2:9" x14ac:dyDescent="0.3">
      <c r="B479" s="19"/>
      <c r="I479" s="19"/>
    </row>
    <row r="480" spans="2:9" x14ac:dyDescent="0.3">
      <c r="B480" s="19"/>
      <c r="I480" s="19"/>
    </row>
    <row r="481" spans="2:9" x14ac:dyDescent="0.3">
      <c r="B481" s="19"/>
      <c r="I481" s="19"/>
    </row>
    <row r="482" spans="2:9" x14ac:dyDescent="0.3">
      <c r="B482" s="19"/>
      <c r="I482" s="19"/>
    </row>
    <row r="483" spans="2:9" x14ac:dyDescent="0.3">
      <c r="B483" s="19"/>
      <c r="I483" s="19"/>
    </row>
    <row r="484" spans="2:9" x14ac:dyDescent="0.3">
      <c r="B484" s="19"/>
      <c r="I484" s="19"/>
    </row>
    <row r="485" spans="2:9" x14ac:dyDescent="0.3">
      <c r="B485" s="19"/>
      <c r="I485" s="19"/>
    </row>
    <row r="486" spans="2:9" x14ac:dyDescent="0.3">
      <c r="B486" s="19"/>
      <c r="I486" s="19"/>
    </row>
    <row r="487" spans="2:9" x14ac:dyDescent="0.3">
      <c r="B487" s="19"/>
      <c r="I487" s="19"/>
    </row>
    <row r="488" spans="2:9" x14ac:dyDescent="0.3">
      <c r="B488" s="19"/>
      <c r="I488" s="19"/>
    </row>
    <row r="489" spans="2:9" x14ac:dyDescent="0.3">
      <c r="B489" s="19"/>
      <c r="I489" s="19"/>
    </row>
    <row r="490" spans="2:9" x14ac:dyDescent="0.3">
      <c r="B490" s="19"/>
      <c r="I490" s="19"/>
    </row>
    <row r="491" spans="2:9" x14ac:dyDescent="0.3">
      <c r="B491" s="19"/>
      <c r="I491" s="19"/>
    </row>
    <row r="492" spans="2:9" x14ac:dyDescent="0.3">
      <c r="B492" s="19"/>
      <c r="I492" s="19"/>
    </row>
    <row r="493" spans="2:9" x14ac:dyDescent="0.3">
      <c r="B493" s="19"/>
      <c r="I493" s="19"/>
    </row>
    <row r="494" spans="2:9" x14ac:dyDescent="0.3">
      <c r="B494" s="19"/>
      <c r="I494" s="19"/>
    </row>
    <row r="495" spans="2:9" x14ac:dyDescent="0.3">
      <c r="B495" s="19"/>
      <c r="I495" s="19"/>
    </row>
    <row r="496" spans="2:9" x14ac:dyDescent="0.3">
      <c r="B496" s="19"/>
      <c r="I496" s="19"/>
    </row>
    <row r="497" spans="2:9" x14ac:dyDescent="0.3">
      <c r="B497" s="19"/>
      <c r="I497" s="19"/>
    </row>
    <row r="498" spans="2:9" x14ac:dyDescent="0.3">
      <c r="B498" s="19"/>
      <c r="I498" s="19"/>
    </row>
    <row r="499" spans="2:9" x14ac:dyDescent="0.3">
      <c r="B499" s="19"/>
      <c r="I499" s="19"/>
    </row>
    <row r="500" spans="2:9" x14ac:dyDescent="0.3">
      <c r="B500" s="19"/>
      <c r="I500" s="19"/>
    </row>
    <row r="501" spans="2:9" x14ac:dyDescent="0.3">
      <c r="B501" s="19"/>
      <c r="I501" s="19"/>
    </row>
    <row r="502" spans="2:9" x14ac:dyDescent="0.3">
      <c r="B502" s="19"/>
      <c r="I502" s="19"/>
    </row>
    <row r="503" spans="2:9" x14ac:dyDescent="0.3">
      <c r="B503" s="19"/>
      <c r="I503" s="19"/>
    </row>
    <row r="504" spans="2:9" x14ac:dyDescent="0.3">
      <c r="B504" s="19"/>
      <c r="I504" s="19"/>
    </row>
    <row r="505" spans="2:9" x14ac:dyDescent="0.3">
      <c r="B505" s="19"/>
      <c r="I505" s="19"/>
    </row>
    <row r="506" spans="2:9" x14ac:dyDescent="0.3">
      <c r="B506" s="19"/>
      <c r="I506" s="19"/>
    </row>
    <row r="507" spans="2:9" x14ac:dyDescent="0.3">
      <c r="B507" s="19"/>
      <c r="I507" s="19"/>
    </row>
    <row r="508" spans="2:9" x14ac:dyDescent="0.3">
      <c r="B508" s="19"/>
      <c r="I508" s="19"/>
    </row>
    <row r="509" spans="2:9" x14ac:dyDescent="0.3">
      <c r="B509" s="19"/>
      <c r="I509" s="19"/>
    </row>
    <row r="510" spans="2:9" x14ac:dyDescent="0.3">
      <c r="B510" s="19"/>
      <c r="I510" s="19"/>
    </row>
    <row r="511" spans="2:9" x14ac:dyDescent="0.3">
      <c r="B511" s="19"/>
      <c r="I511" s="19"/>
    </row>
    <row r="512" spans="2:9" x14ac:dyDescent="0.3">
      <c r="B512" s="19"/>
      <c r="I512" s="19"/>
    </row>
    <row r="513" spans="2:9" x14ac:dyDescent="0.3">
      <c r="B513" s="19"/>
      <c r="I513" s="19"/>
    </row>
    <row r="514" spans="2:9" x14ac:dyDescent="0.3">
      <c r="B514" s="19"/>
      <c r="I514" s="19"/>
    </row>
    <row r="515" spans="2:9" x14ac:dyDescent="0.3">
      <c r="B515" s="19"/>
      <c r="I515" s="19"/>
    </row>
    <row r="516" spans="2:9" x14ac:dyDescent="0.3">
      <c r="B516" s="19"/>
      <c r="I516" s="19"/>
    </row>
    <row r="517" spans="2:9" x14ac:dyDescent="0.3">
      <c r="B517" s="19"/>
      <c r="I517" s="19"/>
    </row>
    <row r="518" spans="2:9" x14ac:dyDescent="0.3">
      <c r="B518" s="19"/>
      <c r="I518" s="19"/>
    </row>
    <row r="519" spans="2:9" x14ac:dyDescent="0.3">
      <c r="B519" s="19"/>
      <c r="I519" s="19"/>
    </row>
    <row r="520" spans="2:9" x14ac:dyDescent="0.3">
      <c r="B520" s="19"/>
      <c r="I520" s="19"/>
    </row>
    <row r="521" spans="2:9" x14ac:dyDescent="0.3">
      <c r="B521" s="19"/>
      <c r="I521" s="19"/>
    </row>
    <row r="522" spans="2:9" x14ac:dyDescent="0.3">
      <c r="B522" s="19"/>
      <c r="I522" s="19"/>
    </row>
    <row r="523" spans="2:9" x14ac:dyDescent="0.3">
      <c r="B523" s="19"/>
      <c r="I523" s="19"/>
    </row>
    <row r="524" spans="2:9" x14ac:dyDescent="0.3">
      <c r="B524" s="19"/>
      <c r="I524" s="19"/>
    </row>
    <row r="525" spans="2:9" x14ac:dyDescent="0.3">
      <c r="B525" s="19"/>
      <c r="I525" s="19"/>
    </row>
    <row r="526" spans="2:9" x14ac:dyDescent="0.3">
      <c r="B526" s="19"/>
      <c r="I526" s="19"/>
    </row>
    <row r="527" spans="2:9" x14ac:dyDescent="0.3">
      <c r="B527" s="19"/>
      <c r="I527" s="19"/>
    </row>
    <row r="528" spans="2:9" x14ac:dyDescent="0.3">
      <c r="B528" s="19"/>
      <c r="I528" s="19"/>
    </row>
    <row r="529" spans="2:9" x14ac:dyDescent="0.3">
      <c r="B529" s="19"/>
      <c r="I529" s="19"/>
    </row>
    <row r="530" spans="2:9" x14ac:dyDescent="0.3">
      <c r="B530" s="19"/>
      <c r="I530" s="19"/>
    </row>
    <row r="531" spans="2:9" x14ac:dyDescent="0.3">
      <c r="B531" s="19"/>
      <c r="I531" s="19"/>
    </row>
    <row r="532" spans="2:9" x14ac:dyDescent="0.3">
      <c r="B532" s="19"/>
      <c r="I532" s="19"/>
    </row>
    <row r="533" spans="2:9" x14ac:dyDescent="0.3">
      <c r="B533" s="19"/>
      <c r="I533" s="19"/>
    </row>
    <row r="534" spans="2:9" x14ac:dyDescent="0.3">
      <c r="B534" s="19"/>
      <c r="I534" s="19"/>
    </row>
    <row r="535" spans="2:9" x14ac:dyDescent="0.3">
      <c r="B535" s="19"/>
      <c r="I535" s="19"/>
    </row>
    <row r="536" spans="2:9" x14ac:dyDescent="0.3">
      <c r="B536" s="19"/>
      <c r="I536" s="19"/>
    </row>
    <row r="537" spans="2:9" x14ac:dyDescent="0.3">
      <c r="B537" s="19"/>
      <c r="I537" s="19"/>
    </row>
    <row r="538" spans="2:9" x14ac:dyDescent="0.3">
      <c r="B538" s="19"/>
      <c r="I538" s="19"/>
    </row>
    <row r="539" spans="2:9" x14ac:dyDescent="0.3">
      <c r="B539" s="19"/>
      <c r="I539" s="19"/>
    </row>
    <row r="540" spans="2:9" x14ac:dyDescent="0.3">
      <c r="B540" s="19"/>
      <c r="I540" s="19"/>
    </row>
    <row r="541" spans="2:9" x14ac:dyDescent="0.3">
      <c r="B541" s="19"/>
      <c r="I541" s="19"/>
    </row>
    <row r="542" spans="2:9" x14ac:dyDescent="0.3">
      <c r="B542" s="19"/>
      <c r="I542" s="19"/>
    </row>
    <row r="543" spans="2:9" x14ac:dyDescent="0.3">
      <c r="B543" s="19"/>
      <c r="I543" s="19"/>
    </row>
    <row r="544" spans="2:9" x14ac:dyDescent="0.3">
      <c r="B544" s="19"/>
      <c r="I544" s="19"/>
    </row>
    <row r="545" spans="2:9" x14ac:dyDescent="0.3">
      <c r="B545" s="19"/>
      <c r="I545" s="19"/>
    </row>
    <row r="546" spans="2:9" x14ac:dyDescent="0.3">
      <c r="B546" s="19"/>
      <c r="I546" s="19"/>
    </row>
    <row r="547" spans="2:9" x14ac:dyDescent="0.3">
      <c r="B547" s="19"/>
      <c r="I547" s="19"/>
    </row>
    <row r="548" spans="2:9" x14ac:dyDescent="0.3">
      <c r="B548" s="19"/>
      <c r="I548" s="19"/>
    </row>
    <row r="549" spans="2:9" x14ac:dyDescent="0.3">
      <c r="B549" s="19"/>
      <c r="I549" s="19"/>
    </row>
    <row r="550" spans="2:9" x14ac:dyDescent="0.3">
      <c r="B550" s="19"/>
      <c r="I550" s="19"/>
    </row>
    <row r="551" spans="2:9" x14ac:dyDescent="0.3">
      <c r="B551" s="19"/>
      <c r="I551" s="19"/>
    </row>
    <row r="552" spans="2:9" x14ac:dyDescent="0.3">
      <c r="B552" s="19"/>
      <c r="I552" s="19"/>
    </row>
    <row r="553" spans="2:9" x14ac:dyDescent="0.3">
      <c r="B553" s="19"/>
      <c r="I553" s="19"/>
    </row>
    <row r="554" spans="2:9" x14ac:dyDescent="0.3">
      <c r="B554" s="19"/>
      <c r="I554" s="19"/>
    </row>
    <row r="555" spans="2:9" x14ac:dyDescent="0.3">
      <c r="B555" s="19"/>
      <c r="I555" s="19"/>
    </row>
    <row r="556" spans="2:9" x14ac:dyDescent="0.3">
      <c r="B556" s="19"/>
      <c r="I556" s="19"/>
    </row>
    <row r="557" spans="2:9" x14ac:dyDescent="0.3">
      <c r="B557" s="19"/>
      <c r="I557" s="19"/>
    </row>
    <row r="558" spans="2:9" x14ac:dyDescent="0.3">
      <c r="B558" s="19"/>
      <c r="I558" s="19"/>
    </row>
    <row r="559" spans="2:9" x14ac:dyDescent="0.3">
      <c r="B559" s="19"/>
      <c r="I559" s="19"/>
    </row>
    <row r="560" spans="2:9" x14ac:dyDescent="0.3">
      <c r="B560" s="19"/>
      <c r="I560" s="19"/>
    </row>
    <row r="561" spans="2:9" x14ac:dyDescent="0.3">
      <c r="B561" s="19"/>
      <c r="I561" s="19"/>
    </row>
    <row r="562" spans="2:9" x14ac:dyDescent="0.3">
      <c r="B562" s="19"/>
      <c r="I562" s="19"/>
    </row>
    <row r="563" spans="2:9" x14ac:dyDescent="0.3">
      <c r="B563" s="19"/>
      <c r="I563" s="19"/>
    </row>
    <row r="564" spans="2:9" x14ac:dyDescent="0.3">
      <c r="B564" s="19"/>
      <c r="I564" s="19"/>
    </row>
    <row r="565" spans="2:9" x14ac:dyDescent="0.3">
      <c r="B565" s="19"/>
      <c r="I565" s="19"/>
    </row>
    <row r="566" spans="2:9" x14ac:dyDescent="0.3">
      <c r="B566" s="19"/>
      <c r="I566" s="19"/>
    </row>
    <row r="567" spans="2:9" x14ac:dyDescent="0.3">
      <c r="B567" s="19"/>
      <c r="I567" s="19"/>
    </row>
    <row r="568" spans="2:9" x14ac:dyDescent="0.3">
      <c r="B568" s="19"/>
      <c r="I568" s="19"/>
    </row>
    <row r="569" spans="2:9" x14ac:dyDescent="0.3">
      <c r="B569" s="19"/>
      <c r="I569" s="19"/>
    </row>
    <row r="570" spans="2:9" x14ac:dyDescent="0.3">
      <c r="B570" s="19"/>
      <c r="I570" s="19"/>
    </row>
    <row r="571" spans="2:9" x14ac:dyDescent="0.3">
      <c r="B571" s="19"/>
      <c r="I571" s="19"/>
    </row>
    <row r="572" spans="2:9" x14ac:dyDescent="0.3">
      <c r="B572" s="19"/>
      <c r="I572" s="19"/>
    </row>
    <row r="573" spans="2:9" x14ac:dyDescent="0.3">
      <c r="B573" s="19"/>
      <c r="I573" s="19"/>
    </row>
    <row r="574" spans="2:9" x14ac:dyDescent="0.3">
      <c r="B574" s="19"/>
      <c r="I574" s="19"/>
    </row>
    <row r="575" spans="2:9" x14ac:dyDescent="0.3">
      <c r="B575" s="19"/>
      <c r="I575" s="19"/>
    </row>
    <row r="576" spans="2:9" x14ac:dyDescent="0.3">
      <c r="B576" s="19"/>
      <c r="I576" s="19"/>
    </row>
    <row r="577" spans="2:9" x14ac:dyDescent="0.3">
      <c r="B577" s="19"/>
      <c r="I577" s="19"/>
    </row>
    <row r="578" spans="2:9" x14ac:dyDescent="0.3">
      <c r="B578" s="19"/>
      <c r="I578" s="19"/>
    </row>
    <row r="579" spans="2:9" x14ac:dyDescent="0.3">
      <c r="B579" s="19"/>
      <c r="I579" s="19"/>
    </row>
    <row r="580" spans="2:9" x14ac:dyDescent="0.3">
      <c r="B580" s="19"/>
      <c r="I580" s="19"/>
    </row>
    <row r="581" spans="2:9" x14ac:dyDescent="0.3">
      <c r="B581" s="19"/>
      <c r="I581" s="19"/>
    </row>
    <row r="582" spans="2:9" x14ac:dyDescent="0.3">
      <c r="B582" s="19"/>
      <c r="I582" s="19"/>
    </row>
    <row r="583" spans="2:9" x14ac:dyDescent="0.3">
      <c r="B583" s="19"/>
      <c r="I583" s="19"/>
    </row>
    <row r="584" spans="2:9" x14ac:dyDescent="0.3">
      <c r="B584" s="19"/>
      <c r="I584" s="19"/>
    </row>
    <row r="585" spans="2:9" x14ac:dyDescent="0.3">
      <c r="B585" s="19"/>
      <c r="I585" s="19"/>
    </row>
    <row r="586" spans="2:9" x14ac:dyDescent="0.3">
      <c r="B586" s="19"/>
      <c r="I586" s="19"/>
    </row>
    <row r="587" spans="2:9" x14ac:dyDescent="0.3">
      <c r="B587" s="19"/>
      <c r="I587" s="19"/>
    </row>
    <row r="588" spans="2:9" x14ac:dyDescent="0.3">
      <c r="B588" s="19"/>
      <c r="I588" s="19"/>
    </row>
    <row r="589" spans="2:9" x14ac:dyDescent="0.3">
      <c r="B589" s="19"/>
      <c r="I589" s="19"/>
    </row>
    <row r="590" spans="2:9" x14ac:dyDescent="0.3">
      <c r="B590" s="19"/>
      <c r="I590" s="19"/>
    </row>
    <row r="591" spans="2:9" x14ac:dyDescent="0.3">
      <c r="B591" s="19"/>
      <c r="I591" s="19"/>
    </row>
    <row r="592" spans="2:9" x14ac:dyDescent="0.3">
      <c r="B592" s="19"/>
      <c r="I592" s="19"/>
    </row>
    <row r="593" spans="2:9" x14ac:dyDescent="0.3">
      <c r="B593" s="19"/>
      <c r="I593" s="19"/>
    </row>
    <row r="594" spans="2:9" x14ac:dyDescent="0.3">
      <c r="B594" s="19"/>
      <c r="I594" s="19"/>
    </row>
    <row r="595" spans="2:9" x14ac:dyDescent="0.3">
      <c r="B595" s="19"/>
      <c r="I595" s="19"/>
    </row>
    <row r="596" spans="2:9" x14ac:dyDescent="0.3">
      <c r="B596" s="19"/>
      <c r="I596" s="19"/>
    </row>
    <row r="597" spans="2:9" x14ac:dyDescent="0.3">
      <c r="B597" s="19"/>
      <c r="I597" s="19"/>
    </row>
    <row r="598" spans="2:9" x14ac:dyDescent="0.3">
      <c r="B598" s="19"/>
      <c r="I598" s="19"/>
    </row>
    <row r="599" spans="2:9" x14ac:dyDescent="0.3">
      <c r="B599" s="19"/>
      <c r="I599" s="19"/>
    </row>
    <row r="600" spans="2:9" x14ac:dyDescent="0.3">
      <c r="B600" s="19"/>
      <c r="I600" s="19"/>
    </row>
    <row r="601" spans="2:9" x14ac:dyDescent="0.3">
      <c r="B601" s="19"/>
      <c r="I601" s="19"/>
    </row>
    <row r="602" spans="2:9" x14ac:dyDescent="0.3">
      <c r="B602" s="19"/>
      <c r="I602" s="19"/>
    </row>
    <row r="603" spans="2:9" x14ac:dyDescent="0.3">
      <c r="B603" s="19"/>
      <c r="I603" s="19"/>
    </row>
    <row r="604" spans="2:9" x14ac:dyDescent="0.3">
      <c r="B604" s="19"/>
      <c r="I604" s="19"/>
    </row>
    <row r="605" spans="2:9" x14ac:dyDescent="0.3">
      <c r="B605" s="19"/>
      <c r="I605" s="19"/>
    </row>
    <row r="606" spans="2:9" x14ac:dyDescent="0.3">
      <c r="B606" s="19"/>
      <c r="I606" s="19"/>
    </row>
    <row r="607" spans="2:9" x14ac:dyDescent="0.3">
      <c r="B607" s="19"/>
      <c r="I607" s="19"/>
    </row>
    <row r="608" spans="2:9" x14ac:dyDescent="0.3">
      <c r="B608" s="19"/>
      <c r="I608" s="19"/>
    </row>
    <row r="609" spans="2:9" x14ac:dyDescent="0.3">
      <c r="B609" s="19"/>
      <c r="I609" s="19"/>
    </row>
    <row r="610" spans="2:9" x14ac:dyDescent="0.3">
      <c r="B610" s="19"/>
      <c r="I610" s="19"/>
    </row>
    <row r="611" spans="2:9" x14ac:dyDescent="0.3">
      <c r="B611" s="19"/>
      <c r="I611" s="19"/>
    </row>
    <row r="612" spans="2:9" x14ac:dyDescent="0.3">
      <c r="B612" s="19"/>
      <c r="I612" s="19"/>
    </row>
    <row r="613" spans="2:9" x14ac:dyDescent="0.3">
      <c r="B613" s="19"/>
      <c r="I613" s="19"/>
    </row>
    <row r="614" spans="2:9" x14ac:dyDescent="0.3">
      <c r="B614" s="19"/>
      <c r="I614" s="19"/>
    </row>
    <row r="615" spans="2:9" x14ac:dyDescent="0.3">
      <c r="B615" s="19"/>
      <c r="I615" s="19"/>
    </row>
    <row r="616" spans="2:9" x14ac:dyDescent="0.3">
      <c r="B616" s="19"/>
      <c r="I616" s="19"/>
    </row>
    <row r="617" spans="2:9" x14ac:dyDescent="0.3">
      <c r="B617" s="19"/>
      <c r="I617" s="19"/>
    </row>
    <row r="618" spans="2:9" x14ac:dyDescent="0.3">
      <c r="B618" s="19"/>
      <c r="I618" s="19"/>
    </row>
    <row r="619" spans="2:9" x14ac:dyDescent="0.3">
      <c r="B619" s="19"/>
      <c r="I619" s="19"/>
    </row>
    <row r="620" spans="2:9" x14ac:dyDescent="0.3">
      <c r="B620" s="19"/>
      <c r="I620" s="19"/>
    </row>
    <row r="621" spans="2:9" x14ac:dyDescent="0.3">
      <c r="B621" s="19"/>
      <c r="I621" s="19"/>
    </row>
    <row r="622" spans="2:9" x14ac:dyDescent="0.3">
      <c r="B622" s="19"/>
      <c r="I622" s="19"/>
    </row>
    <row r="623" spans="2:9" x14ac:dyDescent="0.3">
      <c r="B623" s="19"/>
      <c r="I623" s="19"/>
    </row>
    <row r="624" spans="2:9" x14ac:dyDescent="0.3">
      <c r="B624" s="19"/>
      <c r="I624" s="19"/>
    </row>
    <row r="625" spans="2:9" x14ac:dyDescent="0.3">
      <c r="B625" s="19"/>
      <c r="I625" s="19"/>
    </row>
    <row r="626" spans="2:9" x14ac:dyDescent="0.3">
      <c r="B626" s="19"/>
      <c r="I626" s="19"/>
    </row>
    <row r="627" spans="2:9" x14ac:dyDescent="0.3">
      <c r="B627" s="19"/>
      <c r="I627" s="19"/>
    </row>
    <row r="628" spans="2:9" x14ac:dyDescent="0.3">
      <c r="B628" s="19"/>
      <c r="I628" s="19"/>
    </row>
    <row r="629" spans="2:9" x14ac:dyDescent="0.3">
      <c r="B629" s="19"/>
      <c r="I629" s="19"/>
    </row>
    <row r="630" spans="2:9" x14ac:dyDescent="0.3">
      <c r="B630" s="19"/>
      <c r="I630" s="19"/>
    </row>
    <row r="631" spans="2:9" x14ac:dyDescent="0.3">
      <c r="B631" s="19"/>
      <c r="I631" s="19"/>
    </row>
    <row r="632" spans="2:9" x14ac:dyDescent="0.3">
      <c r="B632" s="19"/>
      <c r="I632" s="19"/>
    </row>
    <row r="633" spans="2:9" x14ac:dyDescent="0.3">
      <c r="B633" s="19"/>
      <c r="I633" s="19"/>
    </row>
    <row r="634" spans="2:9" x14ac:dyDescent="0.3">
      <c r="B634" s="19"/>
      <c r="I634" s="19"/>
    </row>
    <row r="635" spans="2:9" x14ac:dyDescent="0.3">
      <c r="B635" s="19"/>
      <c r="I635" s="19"/>
    </row>
    <row r="636" spans="2:9" x14ac:dyDescent="0.3">
      <c r="B636" s="19"/>
      <c r="I636" s="19"/>
    </row>
    <row r="637" spans="2:9" x14ac:dyDescent="0.3">
      <c r="B637" s="19"/>
      <c r="I637" s="19"/>
    </row>
    <row r="638" spans="2:9" x14ac:dyDescent="0.3">
      <c r="B638" s="19"/>
      <c r="I638" s="19"/>
    </row>
    <row r="639" spans="2:9" x14ac:dyDescent="0.3">
      <c r="B639" s="19"/>
      <c r="I639" s="19"/>
    </row>
    <row r="640" spans="2:9" x14ac:dyDescent="0.3">
      <c r="B640" s="19"/>
      <c r="I640" s="19"/>
    </row>
    <row r="641" spans="2:9" x14ac:dyDescent="0.3">
      <c r="B641" s="19"/>
      <c r="I641" s="19"/>
    </row>
    <row r="642" spans="2:9" x14ac:dyDescent="0.3">
      <c r="B642" s="19"/>
      <c r="I642" s="19"/>
    </row>
    <row r="643" spans="2:9" x14ac:dyDescent="0.3">
      <c r="B643" s="19"/>
      <c r="I643" s="19"/>
    </row>
    <row r="644" spans="2:9" x14ac:dyDescent="0.3">
      <c r="B644" s="19"/>
      <c r="I644" s="19"/>
    </row>
    <row r="645" spans="2:9" x14ac:dyDescent="0.3">
      <c r="B645" s="19"/>
      <c r="I645" s="19"/>
    </row>
    <row r="646" spans="2:9" x14ac:dyDescent="0.3">
      <c r="B646" s="19"/>
      <c r="I646" s="19"/>
    </row>
    <row r="647" spans="2:9" x14ac:dyDescent="0.3">
      <c r="B647" s="19"/>
      <c r="I647" s="19"/>
    </row>
    <row r="648" spans="2:9" x14ac:dyDescent="0.3">
      <c r="B648" s="19"/>
      <c r="I648" s="19"/>
    </row>
    <row r="649" spans="2:9" x14ac:dyDescent="0.3">
      <c r="B649" s="19"/>
      <c r="I649" s="19"/>
    </row>
    <row r="650" spans="2:9" x14ac:dyDescent="0.3">
      <c r="B650" s="19"/>
      <c r="I650" s="19"/>
    </row>
    <row r="651" spans="2:9" x14ac:dyDescent="0.3">
      <c r="B651" s="19"/>
      <c r="I651" s="19"/>
    </row>
    <row r="652" spans="2:9" x14ac:dyDescent="0.3">
      <c r="B652" s="19"/>
      <c r="I652" s="19"/>
    </row>
    <row r="653" spans="2:9" x14ac:dyDescent="0.3">
      <c r="B653" s="19"/>
      <c r="I653" s="19"/>
    </row>
    <row r="654" spans="2:9" x14ac:dyDescent="0.3">
      <c r="B654" s="19"/>
      <c r="I654" s="19"/>
    </row>
    <row r="655" spans="2:9" x14ac:dyDescent="0.3">
      <c r="B655" s="19"/>
      <c r="I655" s="19"/>
    </row>
    <row r="656" spans="2:9" x14ac:dyDescent="0.3">
      <c r="B656" s="19"/>
      <c r="I656" s="19"/>
    </row>
    <row r="657" spans="2:9" x14ac:dyDescent="0.3">
      <c r="B657" s="19"/>
      <c r="I657" s="19"/>
    </row>
    <row r="658" spans="2:9" x14ac:dyDescent="0.3">
      <c r="B658" s="19"/>
      <c r="I658" s="19"/>
    </row>
    <row r="659" spans="2:9" x14ac:dyDescent="0.3">
      <c r="B659" s="19"/>
      <c r="I659" s="19"/>
    </row>
    <row r="660" spans="2:9" x14ac:dyDescent="0.3">
      <c r="B660" s="19"/>
      <c r="I660" s="19"/>
    </row>
    <row r="661" spans="2:9" x14ac:dyDescent="0.3">
      <c r="B661" s="19"/>
      <c r="I661" s="19"/>
    </row>
    <row r="662" spans="2:9" x14ac:dyDescent="0.3">
      <c r="B662" s="19"/>
      <c r="I662" s="19"/>
    </row>
    <row r="663" spans="2:9" x14ac:dyDescent="0.3">
      <c r="B663" s="19"/>
      <c r="I663" s="19"/>
    </row>
    <row r="664" spans="2:9" x14ac:dyDescent="0.3">
      <c r="B664" s="19"/>
      <c r="I664" s="19"/>
    </row>
    <row r="665" spans="2:9" x14ac:dyDescent="0.3">
      <c r="B665" s="19"/>
      <c r="I665" s="19"/>
    </row>
    <row r="666" spans="2:9" x14ac:dyDescent="0.3">
      <c r="B666" s="19"/>
      <c r="I666" s="19"/>
    </row>
    <row r="667" spans="2:9" x14ac:dyDescent="0.3">
      <c r="B667" s="19"/>
      <c r="I667" s="19"/>
    </row>
    <row r="668" spans="2:9" x14ac:dyDescent="0.3">
      <c r="B668" s="19"/>
      <c r="I668" s="19"/>
    </row>
    <row r="669" spans="2:9" x14ac:dyDescent="0.3">
      <c r="B669" s="19"/>
      <c r="I669" s="19"/>
    </row>
    <row r="670" spans="2:9" x14ac:dyDescent="0.3">
      <c r="B670" s="19"/>
      <c r="I670" s="19"/>
    </row>
    <row r="671" spans="2:9" x14ac:dyDescent="0.3">
      <c r="B671" s="19"/>
      <c r="I671" s="19"/>
    </row>
    <row r="672" spans="2:9" x14ac:dyDescent="0.3">
      <c r="B672" s="19"/>
      <c r="I672" s="19"/>
    </row>
    <row r="673" spans="2:9" x14ac:dyDescent="0.3">
      <c r="B673" s="19"/>
      <c r="I673" s="19"/>
    </row>
    <row r="674" spans="2:9" x14ac:dyDescent="0.3">
      <c r="B674" s="19"/>
      <c r="I674" s="19"/>
    </row>
    <row r="675" spans="2:9" x14ac:dyDescent="0.3">
      <c r="B675" s="19"/>
      <c r="I675" s="19"/>
    </row>
    <row r="676" spans="2:9" x14ac:dyDescent="0.3">
      <c r="B676" s="19"/>
      <c r="I676" s="19"/>
    </row>
    <row r="677" spans="2:9" x14ac:dyDescent="0.3">
      <c r="B677" s="19"/>
      <c r="I677" s="19"/>
    </row>
    <row r="678" spans="2:9" x14ac:dyDescent="0.3">
      <c r="B678" s="19"/>
      <c r="I678" s="19"/>
    </row>
    <row r="679" spans="2:9" x14ac:dyDescent="0.3">
      <c r="B679" s="19"/>
      <c r="I679" s="19"/>
    </row>
    <row r="680" spans="2:9" x14ac:dyDescent="0.3">
      <c r="B680" s="19"/>
      <c r="I680" s="19"/>
    </row>
    <row r="681" spans="2:9" x14ac:dyDescent="0.3">
      <c r="B681" s="19"/>
      <c r="I681" s="19"/>
    </row>
    <row r="682" spans="2:9" x14ac:dyDescent="0.3">
      <c r="B682" s="19"/>
      <c r="I682" s="19"/>
    </row>
    <row r="683" spans="2:9" x14ac:dyDescent="0.3">
      <c r="B683" s="19"/>
      <c r="I683" s="19"/>
    </row>
    <row r="684" spans="2:9" x14ac:dyDescent="0.3">
      <c r="B684" s="19"/>
      <c r="I684" s="19"/>
    </row>
    <row r="685" spans="2:9" x14ac:dyDescent="0.3">
      <c r="B685" s="19"/>
      <c r="I685" s="19"/>
    </row>
    <row r="686" spans="2:9" x14ac:dyDescent="0.3">
      <c r="B686" s="19"/>
      <c r="I686" s="19"/>
    </row>
    <row r="687" spans="2:9" x14ac:dyDescent="0.3">
      <c r="B687" s="19"/>
      <c r="I687" s="19"/>
    </row>
    <row r="688" spans="2:9" x14ac:dyDescent="0.3">
      <c r="B688" s="19"/>
      <c r="I688" s="19"/>
    </row>
    <row r="689" spans="2:9" x14ac:dyDescent="0.3">
      <c r="B689" s="19"/>
      <c r="I689" s="19"/>
    </row>
    <row r="690" spans="2:9" x14ac:dyDescent="0.3">
      <c r="B690" s="19"/>
      <c r="I690" s="19"/>
    </row>
    <row r="691" spans="2:9" x14ac:dyDescent="0.3">
      <c r="B691" s="19"/>
      <c r="I691" s="19"/>
    </row>
    <row r="692" spans="2:9" x14ac:dyDescent="0.3">
      <c r="B692" s="19"/>
      <c r="I692" s="19"/>
    </row>
    <row r="693" spans="2:9" x14ac:dyDescent="0.3">
      <c r="B693" s="19"/>
      <c r="I693" s="19"/>
    </row>
    <row r="694" spans="2:9" x14ac:dyDescent="0.3">
      <c r="B694" s="19"/>
      <c r="I694" s="19"/>
    </row>
    <row r="695" spans="2:9" x14ac:dyDescent="0.3">
      <c r="B695" s="19"/>
      <c r="I695" s="19"/>
    </row>
    <row r="696" spans="2:9" x14ac:dyDescent="0.3">
      <c r="B696" s="19"/>
      <c r="I696" s="19"/>
    </row>
    <row r="697" spans="2:9" x14ac:dyDescent="0.3">
      <c r="B697" s="19"/>
      <c r="I697" s="19"/>
    </row>
    <row r="698" spans="2:9" x14ac:dyDescent="0.3">
      <c r="B698" s="19"/>
      <c r="I698" s="19"/>
    </row>
    <row r="699" spans="2:9" x14ac:dyDescent="0.3">
      <c r="B699" s="19"/>
      <c r="I699" s="19"/>
    </row>
    <row r="700" spans="2:9" x14ac:dyDescent="0.3">
      <c r="B700" s="19"/>
      <c r="I700" s="19"/>
    </row>
    <row r="701" spans="2:9" x14ac:dyDescent="0.3">
      <c r="B701" s="19"/>
      <c r="I701" s="19"/>
    </row>
    <row r="702" spans="2:9" x14ac:dyDescent="0.3">
      <c r="B702" s="19"/>
      <c r="I702" s="19"/>
    </row>
    <row r="703" spans="2:9" x14ac:dyDescent="0.3">
      <c r="B703" s="19"/>
      <c r="I703" s="19"/>
    </row>
    <row r="704" spans="2:9" x14ac:dyDescent="0.3">
      <c r="B704" s="19"/>
      <c r="I704" s="19"/>
    </row>
    <row r="705" spans="2:9" x14ac:dyDescent="0.3">
      <c r="B705" s="19"/>
      <c r="I705" s="19"/>
    </row>
    <row r="706" spans="2:9" x14ac:dyDescent="0.3">
      <c r="B706" s="19"/>
      <c r="I706" s="19"/>
    </row>
    <row r="707" spans="2:9" x14ac:dyDescent="0.3">
      <c r="B707" s="19"/>
      <c r="I707" s="19"/>
    </row>
    <row r="708" spans="2:9" x14ac:dyDescent="0.3">
      <c r="B708" s="19"/>
      <c r="I708" s="19"/>
    </row>
    <row r="709" spans="2:9" x14ac:dyDescent="0.3">
      <c r="B709" s="19"/>
      <c r="I709" s="19"/>
    </row>
    <row r="710" spans="2:9" x14ac:dyDescent="0.3">
      <c r="B710" s="19"/>
      <c r="I710" s="19"/>
    </row>
    <row r="711" spans="2:9" x14ac:dyDescent="0.3">
      <c r="B711" s="19"/>
      <c r="I711" s="19"/>
    </row>
    <row r="712" spans="2:9" x14ac:dyDescent="0.3">
      <c r="B712" s="19"/>
      <c r="I712" s="19"/>
    </row>
    <row r="713" spans="2:9" x14ac:dyDescent="0.3">
      <c r="B713" s="19"/>
      <c r="I713" s="19"/>
    </row>
    <row r="714" spans="2:9" x14ac:dyDescent="0.3">
      <c r="B714" s="19"/>
      <c r="I714" s="19"/>
    </row>
    <row r="715" spans="2:9" x14ac:dyDescent="0.3">
      <c r="B715" s="19"/>
      <c r="I715" s="19"/>
    </row>
    <row r="716" spans="2:9" x14ac:dyDescent="0.3">
      <c r="B716" s="19"/>
      <c r="I716" s="19"/>
    </row>
    <row r="717" spans="2:9" x14ac:dyDescent="0.3">
      <c r="B717" s="19"/>
      <c r="I717" s="19"/>
    </row>
    <row r="718" spans="2:9" x14ac:dyDescent="0.3">
      <c r="B718" s="19"/>
      <c r="I718" s="19"/>
    </row>
    <row r="719" spans="2:9" x14ac:dyDescent="0.3">
      <c r="B719" s="19"/>
      <c r="I719" s="19"/>
    </row>
    <row r="720" spans="2:9" x14ac:dyDescent="0.3">
      <c r="B720" s="19"/>
      <c r="I720" s="19"/>
    </row>
    <row r="721" spans="2:9" x14ac:dyDescent="0.3">
      <c r="B721" s="19"/>
      <c r="I721" s="19"/>
    </row>
    <row r="722" spans="2:9" x14ac:dyDescent="0.3">
      <c r="B722" s="19"/>
      <c r="I722" s="19"/>
    </row>
    <row r="723" spans="2:9" x14ac:dyDescent="0.3">
      <c r="B723" s="19"/>
      <c r="I723" s="19"/>
    </row>
    <row r="724" spans="2:9" x14ac:dyDescent="0.3">
      <c r="B724" s="19"/>
      <c r="I724" s="19"/>
    </row>
    <row r="725" spans="2:9" x14ac:dyDescent="0.3">
      <c r="B725" s="19"/>
      <c r="I725" s="19"/>
    </row>
    <row r="726" spans="2:9" x14ac:dyDescent="0.3">
      <c r="B726" s="19"/>
      <c r="I726" s="19"/>
    </row>
    <row r="727" spans="2:9" x14ac:dyDescent="0.3">
      <c r="B727" s="19"/>
      <c r="I727" s="19"/>
    </row>
    <row r="728" spans="2:9" x14ac:dyDescent="0.3">
      <c r="B728" s="19"/>
      <c r="I728" s="19"/>
    </row>
    <row r="729" spans="2:9" x14ac:dyDescent="0.3">
      <c r="B729" s="19"/>
      <c r="I729" s="19"/>
    </row>
    <row r="730" spans="2:9" x14ac:dyDescent="0.3">
      <c r="B730" s="19"/>
      <c r="I730" s="19"/>
    </row>
    <row r="731" spans="2:9" x14ac:dyDescent="0.3">
      <c r="B731" s="19"/>
      <c r="I731" s="19"/>
    </row>
    <row r="732" spans="2:9" x14ac:dyDescent="0.3">
      <c r="B732" s="19"/>
      <c r="I732" s="19"/>
    </row>
    <row r="733" spans="2:9" x14ac:dyDescent="0.3">
      <c r="B733" s="19"/>
      <c r="I733" s="19"/>
    </row>
    <row r="734" spans="2:9" x14ac:dyDescent="0.3">
      <c r="B734" s="19"/>
      <c r="I734" s="19"/>
    </row>
    <row r="735" spans="2:9" x14ac:dyDescent="0.3">
      <c r="B735" s="19"/>
      <c r="I735" s="19"/>
    </row>
    <row r="736" spans="2:9" x14ac:dyDescent="0.3">
      <c r="B736" s="19"/>
      <c r="I736" s="19"/>
    </row>
    <row r="737" spans="2:9" x14ac:dyDescent="0.3">
      <c r="B737" s="19"/>
      <c r="I737" s="19"/>
    </row>
    <row r="738" spans="2:9" x14ac:dyDescent="0.3">
      <c r="B738" s="19"/>
      <c r="I738" s="19"/>
    </row>
    <row r="739" spans="2:9" x14ac:dyDescent="0.3">
      <c r="B739" s="19"/>
      <c r="I739" s="19"/>
    </row>
    <row r="740" spans="2:9" x14ac:dyDescent="0.3">
      <c r="B740" s="19"/>
      <c r="I740" s="19"/>
    </row>
    <row r="741" spans="2:9" x14ac:dyDescent="0.3">
      <c r="B741" s="19"/>
      <c r="I741" s="19"/>
    </row>
    <row r="742" spans="2:9" x14ac:dyDescent="0.3">
      <c r="B742" s="19"/>
      <c r="I742" s="19"/>
    </row>
    <row r="743" spans="2:9" x14ac:dyDescent="0.3">
      <c r="B743" s="19"/>
      <c r="I743" s="19"/>
    </row>
    <row r="744" spans="2:9" x14ac:dyDescent="0.3">
      <c r="B744" s="19"/>
      <c r="I744" s="19"/>
    </row>
    <row r="745" spans="2:9" x14ac:dyDescent="0.3">
      <c r="B745" s="19"/>
      <c r="I745" s="19"/>
    </row>
    <row r="746" spans="2:9" x14ac:dyDescent="0.3">
      <c r="B746" s="19"/>
      <c r="I746" s="19"/>
    </row>
    <row r="747" spans="2:9" x14ac:dyDescent="0.3">
      <c r="B747" s="19"/>
      <c r="I747" s="19"/>
    </row>
    <row r="748" spans="2:9" x14ac:dyDescent="0.3">
      <c r="B748" s="19"/>
      <c r="I748" s="19"/>
    </row>
    <row r="749" spans="2:9" x14ac:dyDescent="0.3">
      <c r="B749" s="19"/>
      <c r="I749" s="19"/>
    </row>
    <row r="750" spans="2:9" x14ac:dyDescent="0.3">
      <c r="B750" s="19"/>
      <c r="I750" s="19"/>
    </row>
    <row r="751" spans="2:9" x14ac:dyDescent="0.3">
      <c r="B751" s="19"/>
      <c r="I751" s="19"/>
    </row>
    <row r="752" spans="2:9" x14ac:dyDescent="0.3">
      <c r="B752" s="19"/>
      <c r="I752" s="19"/>
    </row>
    <row r="753" spans="2:9" x14ac:dyDescent="0.3">
      <c r="B753" s="19"/>
      <c r="I753" s="19"/>
    </row>
    <row r="754" spans="2:9" x14ac:dyDescent="0.3">
      <c r="B754" s="19"/>
      <c r="I754" s="19"/>
    </row>
    <row r="755" spans="2:9" x14ac:dyDescent="0.3">
      <c r="B755" s="19"/>
      <c r="I755" s="19"/>
    </row>
    <row r="756" spans="2:9" x14ac:dyDescent="0.3">
      <c r="B756" s="19"/>
      <c r="I756" s="19"/>
    </row>
    <row r="757" spans="2:9" x14ac:dyDescent="0.3">
      <c r="B757" s="19"/>
      <c r="I757" s="19"/>
    </row>
    <row r="758" spans="2:9" x14ac:dyDescent="0.3">
      <c r="B758" s="19"/>
      <c r="I758" s="19"/>
    </row>
    <row r="759" spans="2:9" x14ac:dyDescent="0.3">
      <c r="B759" s="19"/>
      <c r="I759" s="19"/>
    </row>
    <row r="760" spans="2:9" x14ac:dyDescent="0.3">
      <c r="B760" s="19"/>
      <c r="I760" s="19"/>
    </row>
    <row r="761" spans="2:9" x14ac:dyDescent="0.3">
      <c r="B761" s="19"/>
      <c r="I761" s="19"/>
    </row>
    <row r="762" spans="2:9" x14ac:dyDescent="0.3">
      <c r="B762" s="19"/>
      <c r="I762" s="19"/>
    </row>
    <row r="763" spans="2:9" x14ac:dyDescent="0.3">
      <c r="B763" s="19"/>
      <c r="I763" s="19"/>
    </row>
    <row r="764" spans="2:9" x14ac:dyDescent="0.3">
      <c r="B764" s="19"/>
      <c r="I764" s="19"/>
    </row>
    <row r="765" spans="2:9" x14ac:dyDescent="0.3">
      <c r="B765" s="19"/>
      <c r="I765" s="19"/>
    </row>
    <row r="766" spans="2:9" x14ac:dyDescent="0.3">
      <c r="B766" s="19"/>
      <c r="I766" s="19"/>
    </row>
    <row r="767" spans="2:9" x14ac:dyDescent="0.3">
      <c r="B767" s="19"/>
      <c r="I767" s="19"/>
    </row>
    <row r="768" spans="2:9" x14ac:dyDescent="0.3">
      <c r="B768" s="19"/>
      <c r="I768" s="19"/>
    </row>
    <row r="769" spans="2:9" x14ac:dyDescent="0.3">
      <c r="B769" s="19"/>
      <c r="I769" s="19"/>
    </row>
    <row r="770" spans="2:9" x14ac:dyDescent="0.3">
      <c r="B770" s="19"/>
      <c r="I770" s="19"/>
    </row>
    <row r="771" spans="2:9" x14ac:dyDescent="0.3">
      <c r="B771" s="19"/>
      <c r="I771" s="19"/>
    </row>
    <row r="772" spans="2:9" x14ac:dyDescent="0.3">
      <c r="B772" s="19"/>
      <c r="I772" s="19"/>
    </row>
    <row r="773" spans="2:9" x14ac:dyDescent="0.3">
      <c r="B773" s="19"/>
      <c r="I773" s="19"/>
    </row>
    <row r="774" spans="2:9" x14ac:dyDescent="0.3">
      <c r="B774" s="19"/>
      <c r="I774" s="19"/>
    </row>
    <row r="775" spans="2:9" x14ac:dyDescent="0.3">
      <c r="B775" s="19"/>
      <c r="I775" s="19"/>
    </row>
    <row r="776" spans="2:9" x14ac:dyDescent="0.3">
      <c r="B776" s="19"/>
      <c r="I776" s="19"/>
    </row>
    <row r="777" spans="2:9" x14ac:dyDescent="0.3">
      <c r="B777" s="19"/>
      <c r="I777" s="19"/>
    </row>
    <row r="778" spans="2:9" x14ac:dyDescent="0.3">
      <c r="B778" s="19"/>
      <c r="I778" s="19"/>
    </row>
    <row r="779" spans="2:9" x14ac:dyDescent="0.3">
      <c r="B779" s="19"/>
      <c r="I779" s="19"/>
    </row>
    <row r="780" spans="2:9" x14ac:dyDescent="0.3">
      <c r="B780" s="19"/>
      <c r="I780" s="19"/>
    </row>
    <row r="781" spans="2:9" x14ac:dyDescent="0.3">
      <c r="B781" s="19"/>
      <c r="I781" s="19"/>
    </row>
    <row r="782" spans="2:9" x14ac:dyDescent="0.3">
      <c r="B782" s="19"/>
      <c r="I782" s="19"/>
    </row>
    <row r="783" spans="2:9" x14ac:dyDescent="0.3">
      <c r="B783" s="19"/>
      <c r="I783" s="19"/>
    </row>
    <row r="784" spans="2:9" x14ac:dyDescent="0.3">
      <c r="B784" s="19"/>
      <c r="I784" s="19"/>
    </row>
    <row r="785" spans="2:9" x14ac:dyDescent="0.3">
      <c r="B785" s="19"/>
      <c r="I785" s="19"/>
    </row>
    <row r="786" spans="2:9" x14ac:dyDescent="0.3">
      <c r="B786" s="19"/>
      <c r="I786" s="19"/>
    </row>
    <row r="787" spans="2:9" x14ac:dyDescent="0.3">
      <c r="B787" s="19"/>
      <c r="I787" s="19"/>
    </row>
    <row r="788" spans="2:9" x14ac:dyDescent="0.3">
      <c r="B788" s="19"/>
      <c r="I788" s="19"/>
    </row>
    <row r="789" spans="2:9" x14ac:dyDescent="0.3">
      <c r="B789" s="19"/>
      <c r="I789" s="19"/>
    </row>
    <row r="790" spans="2:9" x14ac:dyDescent="0.3">
      <c r="B790" s="19"/>
      <c r="I790" s="19"/>
    </row>
    <row r="791" spans="2:9" x14ac:dyDescent="0.3">
      <c r="B791" s="19"/>
      <c r="I791" s="19"/>
    </row>
    <row r="792" spans="2:9" x14ac:dyDescent="0.3">
      <c r="B792" s="19"/>
      <c r="I792" s="19"/>
    </row>
    <row r="793" spans="2:9" x14ac:dyDescent="0.3">
      <c r="B793" s="19"/>
      <c r="I793" s="19"/>
    </row>
    <row r="794" spans="2:9" x14ac:dyDescent="0.3">
      <c r="B794" s="19"/>
      <c r="I794" s="19"/>
    </row>
    <row r="795" spans="2:9" x14ac:dyDescent="0.3">
      <c r="B795" s="19"/>
      <c r="I795" s="19"/>
    </row>
    <row r="796" spans="2:9" x14ac:dyDescent="0.3">
      <c r="B796" s="19"/>
      <c r="I796" s="19"/>
    </row>
    <row r="797" spans="2:9" x14ac:dyDescent="0.3">
      <c r="B797" s="19"/>
      <c r="I797" s="19"/>
    </row>
    <row r="798" spans="2:9" x14ac:dyDescent="0.3">
      <c r="B798" s="19"/>
      <c r="I798" s="19"/>
    </row>
    <row r="799" spans="2:9" x14ac:dyDescent="0.3">
      <c r="B799" s="19"/>
      <c r="I799" s="19"/>
    </row>
    <row r="800" spans="2:9" x14ac:dyDescent="0.3">
      <c r="B800" s="19"/>
      <c r="I800" s="19"/>
    </row>
    <row r="801" spans="2:9" x14ac:dyDescent="0.3">
      <c r="B801" s="19"/>
      <c r="I801" s="19"/>
    </row>
    <row r="802" spans="2:9" x14ac:dyDescent="0.3">
      <c r="B802" s="19"/>
      <c r="I802" s="19"/>
    </row>
    <row r="803" spans="2:9" x14ac:dyDescent="0.3">
      <c r="B803" s="19"/>
      <c r="I803" s="19"/>
    </row>
    <row r="804" spans="2:9" x14ac:dyDescent="0.3">
      <c r="B804" s="19"/>
      <c r="I804" s="19"/>
    </row>
    <row r="805" spans="2:9" x14ac:dyDescent="0.3">
      <c r="B805" s="19"/>
      <c r="I805" s="19"/>
    </row>
    <row r="806" spans="2:9" x14ac:dyDescent="0.3">
      <c r="B806" s="19"/>
      <c r="I806" s="19"/>
    </row>
    <row r="807" spans="2:9" x14ac:dyDescent="0.3">
      <c r="B807" s="19"/>
      <c r="I807" s="19"/>
    </row>
    <row r="808" spans="2:9" x14ac:dyDescent="0.3">
      <c r="B808" s="19"/>
      <c r="I808" s="19"/>
    </row>
    <row r="809" spans="2:9" x14ac:dyDescent="0.3">
      <c r="B809" s="19"/>
      <c r="I809" s="19"/>
    </row>
    <row r="810" spans="2:9" x14ac:dyDescent="0.3">
      <c r="B810" s="19"/>
      <c r="I810" s="19"/>
    </row>
    <row r="811" spans="2:9" x14ac:dyDescent="0.3">
      <c r="B811" s="19"/>
      <c r="I811" s="19"/>
    </row>
    <row r="812" spans="2:9" x14ac:dyDescent="0.3">
      <c r="B812" s="19"/>
      <c r="I812" s="19"/>
    </row>
    <row r="813" spans="2:9" x14ac:dyDescent="0.3">
      <c r="B813" s="19"/>
      <c r="I813" s="19"/>
    </row>
    <row r="814" spans="2:9" x14ac:dyDescent="0.3">
      <c r="B814" s="19"/>
      <c r="I814" s="19"/>
    </row>
    <row r="815" spans="2:9" x14ac:dyDescent="0.3">
      <c r="B815" s="19"/>
      <c r="I815" s="19"/>
    </row>
    <row r="816" spans="2:9" x14ac:dyDescent="0.3">
      <c r="B816" s="19"/>
      <c r="I816" s="19"/>
    </row>
    <row r="817" spans="2:9" x14ac:dyDescent="0.3">
      <c r="B817" s="19"/>
      <c r="I817" s="19"/>
    </row>
    <row r="818" spans="2:9" x14ac:dyDescent="0.3">
      <c r="B818" s="19"/>
      <c r="I818" s="19"/>
    </row>
    <row r="819" spans="2:9" x14ac:dyDescent="0.3">
      <c r="B819" s="19"/>
      <c r="I819" s="19"/>
    </row>
    <row r="820" spans="2:9" x14ac:dyDescent="0.3">
      <c r="B820" s="19"/>
      <c r="I820" s="19"/>
    </row>
    <row r="821" spans="2:9" x14ac:dyDescent="0.3">
      <c r="B821" s="19"/>
      <c r="I821" s="19"/>
    </row>
    <row r="822" spans="2:9" x14ac:dyDescent="0.3">
      <c r="B822" s="19"/>
      <c r="I822" s="19"/>
    </row>
    <row r="823" spans="2:9" x14ac:dyDescent="0.3">
      <c r="B823" s="19"/>
      <c r="I823" s="19"/>
    </row>
    <row r="824" spans="2:9" x14ac:dyDescent="0.3">
      <c r="B824" s="19"/>
      <c r="I824" s="19"/>
    </row>
    <row r="825" spans="2:9" x14ac:dyDescent="0.3">
      <c r="B825" s="19"/>
      <c r="I825" s="19"/>
    </row>
    <row r="826" spans="2:9" x14ac:dyDescent="0.3">
      <c r="B826" s="19"/>
      <c r="I826" s="19"/>
    </row>
    <row r="827" spans="2:9" x14ac:dyDescent="0.3">
      <c r="B827" s="19"/>
      <c r="I827" s="19"/>
    </row>
    <row r="828" spans="2:9" x14ac:dyDescent="0.3">
      <c r="B828" s="19"/>
      <c r="I828" s="19"/>
    </row>
    <row r="829" spans="2:9" x14ac:dyDescent="0.3">
      <c r="B829" s="19"/>
      <c r="I829" s="19"/>
    </row>
    <row r="830" spans="2:9" x14ac:dyDescent="0.3">
      <c r="B830" s="19"/>
      <c r="I830" s="19"/>
    </row>
    <row r="831" spans="2:9" x14ac:dyDescent="0.3">
      <c r="B831" s="19"/>
      <c r="I831" s="19"/>
    </row>
    <row r="832" spans="2:9" x14ac:dyDescent="0.3">
      <c r="B832" s="19"/>
      <c r="I832" s="19"/>
    </row>
    <row r="833" spans="2:9" x14ac:dyDescent="0.3">
      <c r="B833" s="19"/>
      <c r="I833" s="19"/>
    </row>
    <row r="834" spans="2:9" x14ac:dyDescent="0.3">
      <c r="B834" s="19"/>
      <c r="I834" s="19"/>
    </row>
    <row r="835" spans="2:9" x14ac:dyDescent="0.3">
      <c r="B835" s="19"/>
      <c r="I835" s="19"/>
    </row>
    <row r="836" spans="2:9" x14ac:dyDescent="0.3">
      <c r="B836" s="19"/>
      <c r="I836" s="19"/>
    </row>
    <row r="837" spans="2:9" x14ac:dyDescent="0.3">
      <c r="B837" s="19"/>
      <c r="I837" s="19"/>
    </row>
    <row r="838" spans="2:9" x14ac:dyDescent="0.3">
      <c r="B838" s="19"/>
      <c r="I838" s="19"/>
    </row>
    <row r="839" spans="2:9" x14ac:dyDescent="0.3">
      <c r="B839" s="19"/>
      <c r="I839" s="19"/>
    </row>
    <row r="840" spans="2:9" x14ac:dyDescent="0.3">
      <c r="B840" s="19"/>
      <c r="I840" s="19"/>
    </row>
    <row r="841" spans="2:9" x14ac:dyDescent="0.3">
      <c r="B841" s="19"/>
      <c r="I841" s="19"/>
    </row>
    <row r="842" spans="2:9" x14ac:dyDescent="0.3">
      <c r="B842" s="19"/>
      <c r="I842" s="19"/>
    </row>
    <row r="843" spans="2:9" x14ac:dyDescent="0.3">
      <c r="B843" s="19"/>
      <c r="I843" s="19"/>
    </row>
    <row r="844" spans="2:9" x14ac:dyDescent="0.3">
      <c r="B844" s="19"/>
      <c r="I844" s="19"/>
    </row>
    <row r="845" spans="2:9" x14ac:dyDescent="0.3">
      <c r="B845" s="19"/>
      <c r="I845" s="19"/>
    </row>
    <row r="846" spans="2:9" x14ac:dyDescent="0.3">
      <c r="B846" s="19"/>
      <c r="I846" s="19"/>
    </row>
    <row r="847" spans="2:9" x14ac:dyDescent="0.3">
      <c r="B847" s="19"/>
      <c r="I847" s="19"/>
    </row>
    <row r="848" spans="2:9" x14ac:dyDescent="0.3">
      <c r="B848" s="19"/>
      <c r="I848" s="19"/>
    </row>
    <row r="849" spans="2:9" x14ac:dyDescent="0.3">
      <c r="B849" s="19"/>
      <c r="I849" s="19"/>
    </row>
    <row r="850" spans="2:9" x14ac:dyDescent="0.3">
      <c r="B850" s="19"/>
      <c r="I850" s="19"/>
    </row>
    <row r="851" spans="2:9" x14ac:dyDescent="0.3">
      <c r="B851" s="19"/>
      <c r="I851" s="19"/>
    </row>
    <row r="852" spans="2:9" x14ac:dyDescent="0.3">
      <c r="B852" s="19"/>
      <c r="I852" s="19"/>
    </row>
    <row r="853" spans="2:9" x14ac:dyDescent="0.3">
      <c r="B853" s="19"/>
      <c r="I853" s="19"/>
    </row>
    <row r="854" spans="2:9" x14ac:dyDescent="0.3">
      <c r="B854" s="19"/>
      <c r="I854" s="19"/>
    </row>
    <row r="855" spans="2:9" x14ac:dyDescent="0.3">
      <c r="B855" s="19"/>
      <c r="I855" s="19"/>
    </row>
    <row r="856" spans="2:9" x14ac:dyDescent="0.3">
      <c r="B856" s="19"/>
      <c r="I856" s="19"/>
    </row>
    <row r="857" spans="2:9" x14ac:dyDescent="0.3">
      <c r="B857" s="19"/>
      <c r="I857" s="19"/>
    </row>
    <row r="858" spans="2:9" x14ac:dyDescent="0.3">
      <c r="B858" s="19"/>
      <c r="I858" s="19"/>
    </row>
    <row r="859" spans="2:9" x14ac:dyDescent="0.3">
      <c r="B859" s="19"/>
      <c r="I859" s="19"/>
    </row>
    <row r="860" spans="2:9" x14ac:dyDescent="0.3">
      <c r="B860" s="19"/>
      <c r="I860" s="19"/>
    </row>
    <row r="861" spans="2:9" x14ac:dyDescent="0.3">
      <c r="B861" s="19"/>
      <c r="I861" s="19"/>
    </row>
    <row r="862" spans="2:9" x14ac:dyDescent="0.3">
      <c r="B862" s="19"/>
      <c r="I862" s="19"/>
    </row>
    <row r="863" spans="2:9" x14ac:dyDescent="0.3">
      <c r="B863" s="19"/>
      <c r="I863" s="19"/>
    </row>
    <row r="864" spans="2:9" x14ac:dyDescent="0.3">
      <c r="B864" s="19"/>
      <c r="I864" s="19"/>
    </row>
    <row r="865" spans="2:9" x14ac:dyDescent="0.3">
      <c r="B865" s="19"/>
      <c r="I865" s="19"/>
    </row>
    <row r="866" spans="2:9" x14ac:dyDescent="0.3">
      <c r="B866" s="19"/>
      <c r="I866" s="19"/>
    </row>
    <row r="867" spans="2:9" x14ac:dyDescent="0.3">
      <c r="B867" s="19"/>
      <c r="I867" s="19"/>
    </row>
    <row r="868" spans="2:9" x14ac:dyDescent="0.3">
      <c r="B868" s="19"/>
      <c r="I868" s="19"/>
    </row>
    <row r="869" spans="2:9" x14ac:dyDescent="0.3">
      <c r="B869" s="19"/>
      <c r="I869" s="19"/>
    </row>
    <row r="870" spans="2:9" x14ac:dyDescent="0.3">
      <c r="B870" s="19"/>
      <c r="I870" s="19"/>
    </row>
    <row r="871" spans="2:9" x14ac:dyDescent="0.3">
      <c r="B871" s="19"/>
      <c r="I871" s="19"/>
    </row>
    <row r="872" spans="2:9" x14ac:dyDescent="0.3">
      <c r="B872" s="19"/>
      <c r="I872" s="19"/>
    </row>
    <row r="873" spans="2:9" x14ac:dyDescent="0.3">
      <c r="B873" s="19"/>
      <c r="I873" s="19"/>
    </row>
    <row r="874" spans="2:9" x14ac:dyDescent="0.3">
      <c r="B874" s="19"/>
      <c r="I874" s="19"/>
    </row>
    <row r="875" spans="2:9" x14ac:dyDescent="0.3">
      <c r="B875" s="19"/>
      <c r="I875" s="19"/>
    </row>
    <row r="876" spans="2:9" x14ac:dyDescent="0.3">
      <c r="B876" s="19"/>
      <c r="I876" s="19"/>
    </row>
    <row r="877" spans="2:9" x14ac:dyDescent="0.3">
      <c r="B877" s="19"/>
      <c r="I877" s="19"/>
    </row>
    <row r="878" spans="2:9" x14ac:dyDescent="0.3">
      <c r="B878" s="19"/>
      <c r="I878" s="19"/>
    </row>
    <row r="879" spans="2:9" x14ac:dyDescent="0.3">
      <c r="B879" s="19"/>
      <c r="I879" s="19"/>
    </row>
    <row r="880" spans="2:9" x14ac:dyDescent="0.3">
      <c r="B880" s="19"/>
      <c r="I880" s="19"/>
    </row>
    <row r="881" spans="2:9" x14ac:dyDescent="0.3">
      <c r="B881" s="19"/>
      <c r="I881" s="19"/>
    </row>
    <row r="882" spans="2:9" x14ac:dyDescent="0.3">
      <c r="B882" s="19"/>
      <c r="I882" s="19"/>
    </row>
    <row r="883" spans="2:9" x14ac:dyDescent="0.3">
      <c r="B883" s="19"/>
      <c r="I883" s="19"/>
    </row>
    <row r="884" spans="2:9" x14ac:dyDescent="0.3">
      <c r="B884" s="19"/>
      <c r="I884" s="19"/>
    </row>
    <row r="885" spans="2:9" x14ac:dyDescent="0.3">
      <c r="B885" s="19"/>
      <c r="I885" s="19"/>
    </row>
    <row r="886" spans="2:9" x14ac:dyDescent="0.3">
      <c r="B886" s="19"/>
      <c r="I886" s="19"/>
    </row>
    <row r="887" spans="2:9" x14ac:dyDescent="0.3">
      <c r="B887" s="19"/>
      <c r="I887" s="19"/>
    </row>
    <row r="888" spans="2:9" x14ac:dyDescent="0.3">
      <c r="B888" s="19"/>
      <c r="I888" s="19"/>
    </row>
    <row r="889" spans="2:9" x14ac:dyDescent="0.3">
      <c r="B889" s="19"/>
      <c r="I889" s="19"/>
    </row>
    <row r="890" spans="2:9" x14ac:dyDescent="0.3">
      <c r="B890" s="19"/>
      <c r="I890" s="19"/>
    </row>
    <row r="891" spans="2:9" x14ac:dyDescent="0.3">
      <c r="B891" s="19"/>
      <c r="I891" s="19"/>
    </row>
    <row r="892" spans="2:9" x14ac:dyDescent="0.3">
      <c r="B892" s="19"/>
      <c r="I892" s="19"/>
    </row>
    <row r="893" spans="2:9" x14ac:dyDescent="0.3">
      <c r="B893" s="19"/>
      <c r="I893" s="19"/>
    </row>
    <row r="894" spans="2:9" x14ac:dyDescent="0.3">
      <c r="B894" s="19"/>
      <c r="I894" s="19"/>
    </row>
    <row r="895" spans="2:9" x14ac:dyDescent="0.3">
      <c r="B895" s="19"/>
      <c r="I895" s="19"/>
    </row>
    <row r="896" spans="2:9" x14ac:dyDescent="0.3">
      <c r="B896" s="19"/>
      <c r="I896" s="19"/>
    </row>
    <row r="897" spans="2:9" x14ac:dyDescent="0.3">
      <c r="B897" s="19"/>
      <c r="I897" s="19"/>
    </row>
    <row r="898" spans="2:9" x14ac:dyDescent="0.3">
      <c r="B898" s="19"/>
      <c r="I898" s="19"/>
    </row>
    <row r="899" spans="2:9" x14ac:dyDescent="0.3">
      <c r="B899" s="19"/>
      <c r="I899" s="19"/>
    </row>
    <row r="900" spans="2:9" x14ac:dyDescent="0.3">
      <c r="B900" s="19"/>
      <c r="I900" s="19"/>
    </row>
    <row r="901" spans="2:9" x14ac:dyDescent="0.3">
      <c r="B901" s="19"/>
      <c r="I901" s="19"/>
    </row>
    <row r="902" spans="2:9" x14ac:dyDescent="0.3">
      <c r="B902" s="19"/>
      <c r="I902" s="19"/>
    </row>
    <row r="903" spans="2:9" x14ac:dyDescent="0.3">
      <c r="B903" s="19"/>
      <c r="I903" s="19"/>
    </row>
    <row r="904" spans="2:9" x14ac:dyDescent="0.3">
      <c r="B904" s="19"/>
      <c r="I904" s="19"/>
    </row>
    <row r="905" spans="2:9" x14ac:dyDescent="0.3">
      <c r="B905" s="19"/>
      <c r="I905" s="19"/>
    </row>
    <row r="906" spans="2:9" x14ac:dyDescent="0.3">
      <c r="B906" s="19"/>
      <c r="I906" s="19"/>
    </row>
    <row r="907" spans="2:9" x14ac:dyDescent="0.3">
      <c r="B907" s="19"/>
      <c r="I907" s="19"/>
    </row>
    <row r="908" spans="2:9" x14ac:dyDescent="0.3">
      <c r="B908" s="19"/>
      <c r="I908" s="19"/>
    </row>
    <row r="909" spans="2:9" x14ac:dyDescent="0.3">
      <c r="B909" s="19"/>
      <c r="I909" s="19"/>
    </row>
    <row r="910" spans="2:9" x14ac:dyDescent="0.3">
      <c r="B910" s="19"/>
      <c r="I910" s="19"/>
    </row>
    <row r="911" spans="2:9" x14ac:dyDescent="0.3">
      <c r="B911" s="19"/>
      <c r="I911" s="19"/>
    </row>
    <row r="912" spans="2:9" x14ac:dyDescent="0.3">
      <c r="B912" s="19"/>
      <c r="I912" s="19"/>
    </row>
    <row r="913" spans="2:9" x14ac:dyDescent="0.3">
      <c r="B913" s="19"/>
      <c r="I913" s="19"/>
    </row>
    <row r="914" spans="2:9" x14ac:dyDescent="0.3">
      <c r="B914" s="19"/>
      <c r="I914" s="19"/>
    </row>
    <row r="915" spans="2:9" x14ac:dyDescent="0.3">
      <c r="B915" s="19"/>
      <c r="I915" s="19"/>
    </row>
    <row r="916" spans="2:9" x14ac:dyDescent="0.3">
      <c r="B916" s="19"/>
      <c r="I916" s="19"/>
    </row>
    <row r="917" spans="2:9" x14ac:dyDescent="0.3">
      <c r="B917" s="19"/>
      <c r="I917" s="19"/>
    </row>
    <row r="918" spans="2:9" x14ac:dyDescent="0.3">
      <c r="B918" s="19"/>
      <c r="I918" s="19"/>
    </row>
    <row r="919" spans="2:9" x14ac:dyDescent="0.3">
      <c r="B919" s="19"/>
      <c r="I919" s="19"/>
    </row>
    <row r="920" spans="2:9" x14ac:dyDescent="0.3">
      <c r="B920" s="19"/>
      <c r="I920" s="19"/>
    </row>
    <row r="921" spans="2:9" x14ac:dyDescent="0.3">
      <c r="B921" s="19"/>
      <c r="I921" s="19"/>
    </row>
    <row r="922" spans="2:9" x14ac:dyDescent="0.3">
      <c r="B922" s="19"/>
      <c r="I922" s="19"/>
    </row>
    <row r="923" spans="2:9" x14ac:dyDescent="0.3">
      <c r="B923" s="19"/>
      <c r="I923" s="19"/>
    </row>
    <row r="924" spans="2:9" x14ac:dyDescent="0.3">
      <c r="B924" s="19"/>
      <c r="I924" s="19"/>
    </row>
    <row r="925" spans="2:9" x14ac:dyDescent="0.3">
      <c r="B925" s="19"/>
      <c r="I925" s="19"/>
    </row>
    <row r="926" spans="2:9" x14ac:dyDescent="0.3">
      <c r="B926" s="19"/>
      <c r="I926" s="19"/>
    </row>
    <row r="927" spans="2:9" x14ac:dyDescent="0.3">
      <c r="B927" s="19"/>
      <c r="I927" s="19"/>
    </row>
    <row r="928" spans="2:9" x14ac:dyDescent="0.3">
      <c r="B928" s="19"/>
      <c r="I928" s="19"/>
    </row>
    <row r="929" spans="2:9" x14ac:dyDescent="0.3">
      <c r="B929" s="19"/>
      <c r="I929" s="19"/>
    </row>
    <row r="930" spans="2:9" x14ac:dyDescent="0.3">
      <c r="B930" s="19"/>
      <c r="I930" s="19"/>
    </row>
    <row r="931" spans="2:9" x14ac:dyDescent="0.3">
      <c r="B931" s="19"/>
      <c r="I931" s="19"/>
    </row>
    <row r="932" spans="2:9" x14ac:dyDescent="0.3">
      <c r="B932" s="19"/>
      <c r="I932" s="19"/>
    </row>
    <row r="933" spans="2:9" x14ac:dyDescent="0.3">
      <c r="B933" s="19"/>
      <c r="I933" s="19"/>
    </row>
    <row r="934" spans="2:9" x14ac:dyDescent="0.3">
      <c r="B934" s="19"/>
      <c r="I934" s="19"/>
    </row>
    <row r="935" spans="2:9" x14ac:dyDescent="0.3">
      <c r="B935" s="19"/>
      <c r="I935" s="19"/>
    </row>
    <row r="936" spans="2:9" x14ac:dyDescent="0.3">
      <c r="B936" s="19"/>
      <c r="I936" s="19"/>
    </row>
    <row r="937" spans="2:9" x14ac:dyDescent="0.3">
      <c r="B937" s="19"/>
      <c r="I937" s="19"/>
    </row>
    <row r="938" spans="2:9" x14ac:dyDescent="0.3">
      <c r="B938" s="19"/>
      <c r="I938" s="19"/>
    </row>
    <row r="939" spans="2:9" x14ac:dyDescent="0.3">
      <c r="B939" s="19"/>
      <c r="I939" s="19"/>
    </row>
    <row r="940" spans="2:9" x14ac:dyDescent="0.3">
      <c r="B940" s="19"/>
      <c r="I940" s="19"/>
    </row>
    <row r="941" spans="2:9" x14ac:dyDescent="0.3">
      <c r="B941" s="19"/>
      <c r="I941" s="19"/>
    </row>
    <row r="942" spans="2:9" x14ac:dyDescent="0.3">
      <c r="B942" s="19"/>
      <c r="I942" s="19"/>
    </row>
    <row r="943" spans="2:9" x14ac:dyDescent="0.3">
      <c r="B943" s="19"/>
      <c r="I943" s="19"/>
    </row>
    <row r="944" spans="2:9" x14ac:dyDescent="0.3">
      <c r="B944" s="19"/>
      <c r="I944" s="19"/>
    </row>
    <row r="945" spans="2:9" x14ac:dyDescent="0.3">
      <c r="B945" s="19"/>
      <c r="I945" s="19"/>
    </row>
    <row r="946" spans="2:9" x14ac:dyDescent="0.3">
      <c r="B946" s="19"/>
      <c r="I946" s="19"/>
    </row>
    <row r="947" spans="2:9" x14ac:dyDescent="0.3">
      <c r="B947" s="19"/>
      <c r="I947" s="19"/>
    </row>
    <row r="948" spans="2:9" x14ac:dyDescent="0.3">
      <c r="B948" s="19"/>
      <c r="I948" s="19"/>
    </row>
    <row r="949" spans="2:9" x14ac:dyDescent="0.3">
      <c r="B949" s="19"/>
      <c r="I949" s="19"/>
    </row>
    <row r="950" spans="2:9" x14ac:dyDescent="0.3">
      <c r="B950" s="19"/>
      <c r="I950" s="19"/>
    </row>
    <row r="951" spans="2:9" x14ac:dyDescent="0.3">
      <c r="B951" s="19"/>
      <c r="I951" s="19"/>
    </row>
    <row r="952" spans="2:9" x14ac:dyDescent="0.3">
      <c r="B952" s="19"/>
      <c r="I952" s="19"/>
    </row>
    <row r="953" spans="2:9" x14ac:dyDescent="0.3">
      <c r="B953" s="19"/>
      <c r="I953" s="19"/>
    </row>
    <row r="954" spans="2:9" x14ac:dyDescent="0.3">
      <c r="B954" s="19"/>
      <c r="I954" s="19"/>
    </row>
    <row r="955" spans="2:9" x14ac:dyDescent="0.3">
      <c r="B955" s="19"/>
      <c r="I955" s="19"/>
    </row>
    <row r="956" spans="2:9" x14ac:dyDescent="0.3">
      <c r="B956" s="19"/>
      <c r="I956" s="19"/>
    </row>
    <row r="957" spans="2:9" x14ac:dyDescent="0.3">
      <c r="B957" s="19"/>
      <c r="I957" s="19"/>
    </row>
    <row r="958" spans="2:9" x14ac:dyDescent="0.3">
      <c r="B958" s="19"/>
      <c r="I958" s="19"/>
    </row>
    <row r="959" spans="2:9" x14ac:dyDescent="0.3">
      <c r="B959" s="19"/>
      <c r="I959" s="19"/>
    </row>
    <row r="960" spans="2:9" x14ac:dyDescent="0.3">
      <c r="B960" s="19"/>
      <c r="I960" s="19"/>
    </row>
    <row r="961" spans="2:9" x14ac:dyDescent="0.3">
      <c r="B961" s="19"/>
      <c r="I961" s="19"/>
    </row>
    <row r="962" spans="2:9" x14ac:dyDescent="0.3">
      <c r="B962" s="19"/>
      <c r="I962" s="19"/>
    </row>
    <row r="963" spans="2:9" x14ac:dyDescent="0.3">
      <c r="B963" s="19"/>
      <c r="I963" s="19"/>
    </row>
    <row r="964" spans="2:9" x14ac:dyDescent="0.3">
      <c r="B964" s="19"/>
      <c r="I964" s="19"/>
    </row>
    <row r="965" spans="2:9" x14ac:dyDescent="0.3">
      <c r="B965" s="19"/>
      <c r="I965" s="19"/>
    </row>
    <row r="966" spans="2:9" x14ac:dyDescent="0.3">
      <c r="B966" s="19"/>
      <c r="I966" s="19"/>
    </row>
    <row r="967" spans="2:9" x14ac:dyDescent="0.3">
      <c r="B967" s="19"/>
      <c r="I967" s="19"/>
    </row>
    <row r="968" spans="2:9" x14ac:dyDescent="0.3">
      <c r="B968" s="19"/>
      <c r="I968" s="19"/>
    </row>
    <row r="969" spans="2:9" x14ac:dyDescent="0.3">
      <c r="B969" s="19"/>
      <c r="I969" s="19"/>
    </row>
    <row r="970" spans="2:9" x14ac:dyDescent="0.3">
      <c r="B970" s="19"/>
      <c r="I970" s="19"/>
    </row>
    <row r="971" spans="2:9" x14ac:dyDescent="0.3">
      <c r="B971" s="19"/>
      <c r="I971" s="19"/>
    </row>
    <row r="972" spans="2:9" x14ac:dyDescent="0.3">
      <c r="B972" s="19"/>
      <c r="I972" s="19"/>
    </row>
    <row r="973" spans="2:9" x14ac:dyDescent="0.3">
      <c r="B973" s="19"/>
      <c r="I973" s="19"/>
    </row>
    <row r="974" spans="2:9" x14ac:dyDescent="0.3">
      <c r="B974" s="19"/>
      <c r="I974" s="19"/>
    </row>
    <row r="975" spans="2:9" x14ac:dyDescent="0.3">
      <c r="B975" s="19"/>
      <c r="I975" s="19"/>
    </row>
    <row r="976" spans="2:9" x14ac:dyDescent="0.3">
      <c r="B976" s="19"/>
      <c r="I976" s="19"/>
    </row>
    <row r="977" spans="2:9" x14ac:dyDescent="0.3">
      <c r="B977" s="19"/>
      <c r="I977" s="19"/>
    </row>
    <row r="978" spans="2:9" x14ac:dyDescent="0.3">
      <c r="B978" s="19"/>
      <c r="I978" s="19"/>
    </row>
    <row r="979" spans="2:9" x14ac:dyDescent="0.3">
      <c r="B979" s="19"/>
      <c r="I979" s="19"/>
    </row>
    <row r="980" spans="2:9" x14ac:dyDescent="0.3">
      <c r="B980" s="19"/>
      <c r="I980" s="19"/>
    </row>
    <row r="981" spans="2:9" x14ac:dyDescent="0.3">
      <c r="B981" s="19"/>
      <c r="I981" s="19"/>
    </row>
    <row r="982" spans="2:9" x14ac:dyDescent="0.3">
      <c r="B982" s="19"/>
      <c r="I982" s="19"/>
    </row>
    <row r="983" spans="2:9" x14ac:dyDescent="0.3">
      <c r="B983" s="19"/>
      <c r="I983" s="19"/>
    </row>
    <row r="984" spans="2:9" x14ac:dyDescent="0.3">
      <c r="B984" s="19"/>
      <c r="I984" s="19"/>
    </row>
    <row r="985" spans="2:9" x14ac:dyDescent="0.3">
      <c r="B985" s="19"/>
      <c r="I985" s="19"/>
    </row>
    <row r="986" spans="2:9" x14ac:dyDescent="0.3">
      <c r="B986" s="19"/>
      <c r="I986" s="19"/>
    </row>
    <row r="987" spans="2:9" x14ac:dyDescent="0.3">
      <c r="B987" s="19"/>
      <c r="I987" s="19"/>
    </row>
    <row r="988" spans="2:9" x14ac:dyDescent="0.3">
      <c r="B988" s="19"/>
      <c r="I988" s="19"/>
    </row>
    <row r="989" spans="2:9" x14ac:dyDescent="0.3">
      <c r="B989" s="19"/>
      <c r="I989" s="19"/>
    </row>
    <row r="990" spans="2:9" x14ac:dyDescent="0.3">
      <c r="B990" s="19"/>
      <c r="I990" s="19"/>
    </row>
    <row r="991" spans="2:9" x14ac:dyDescent="0.3">
      <c r="B991" s="19"/>
      <c r="I991" s="19"/>
    </row>
    <row r="992" spans="2:9" x14ac:dyDescent="0.3">
      <c r="B992" s="19"/>
      <c r="I992" s="19"/>
    </row>
    <row r="993" spans="2:9" x14ac:dyDescent="0.3">
      <c r="B993" s="19"/>
      <c r="I993" s="19"/>
    </row>
    <row r="994" spans="2:9" x14ac:dyDescent="0.3">
      <c r="B994" s="19"/>
      <c r="I994" s="19"/>
    </row>
    <row r="995" spans="2:9" x14ac:dyDescent="0.3">
      <c r="B995" s="19"/>
      <c r="I995" s="19"/>
    </row>
    <row r="996" spans="2:9" x14ac:dyDescent="0.3">
      <c r="B996" s="19"/>
      <c r="I996" s="19"/>
    </row>
    <row r="997" spans="2:9" x14ac:dyDescent="0.3">
      <c r="B997" s="19"/>
      <c r="I997" s="19"/>
    </row>
    <row r="998" spans="2:9" x14ac:dyDescent="0.3">
      <c r="B998" s="19"/>
      <c r="I998" s="19"/>
    </row>
    <row r="999" spans="2:9" x14ac:dyDescent="0.3">
      <c r="B999" s="19"/>
      <c r="I999" s="19"/>
    </row>
    <row r="1000" spans="2:9" x14ac:dyDescent="0.3">
      <c r="B1000" s="19"/>
      <c r="I1000" s="19"/>
    </row>
  </sheetData>
  <mergeCells count="1">
    <mergeCell ref="A1:I1"/>
  </mergeCells>
  <conditionalFormatting sqref="F5:F1000">
    <cfRule type="expression" dxfId="6" priority="1">
      <formula>$F5="Alta"</formula>
    </cfRule>
    <cfRule type="expression" dxfId="5" priority="2">
      <formula>$F5="Media"</formula>
    </cfRule>
    <cfRule type="expression" dxfId="4" priority="3">
      <formula>$F5="Bassa"</formula>
    </cfRule>
  </conditionalFormatting>
  <conditionalFormatting sqref="H5:H1000">
    <cfRule type="expression" dxfId="3" priority="4">
      <formula>$H5="Risolto"</formula>
    </cfRule>
    <cfRule type="expression" dxfId="2" priority="5">
      <formula>$H5="In corso"</formula>
    </cfRule>
    <cfRule type="expression" dxfId="1" priority="6">
      <formula>$H5="Aperto"</formula>
    </cfRule>
    <cfRule type="expression" dxfId="0" priority="7">
      <formula>$H5="Scartato"</formula>
    </cfRule>
  </conditionalFormatting>
  <dataValidations count="3">
    <dataValidation type="list" allowBlank="1" showErrorMessage="1" errorTitle="Valore non previsto" error="Scegli un valore dall'elenco." sqref="C5:C1000" xr:uid="{00000000-0002-0000-1300-000000000000}">
      <formula1>"BE,FE,Database,Deploy"</formula1>
    </dataValidation>
    <dataValidation type="list" allowBlank="1" showErrorMessage="1" errorTitle="Valore non previsto" error="Scegli un valore dall'elenco." sqref="F5:F1000" xr:uid="{00000000-0002-0000-1300-000001000000}">
      <formula1>"Alta,Media,Bassa"</formula1>
    </dataValidation>
    <dataValidation type="list" allowBlank="1" showErrorMessage="1" errorTitle="Valore non previsto" error="Scegli un valore dall'elenco." sqref="H5:H1000" xr:uid="{00000000-0002-0000-1300-000002000000}">
      <formula1>"Risolto,In corso,Aperto,Scartato"</formula1>
    </dataValidation>
  </dataValidations>
  <hyperlinks>
    <hyperlink ref="I2" location="'Dashboard'!A1" display="← Torna alla Dashboard" xr:uid="{00000000-0004-0000-1300-000000000000}"/>
  </hyperlink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20</vt:i4>
      </vt:variant>
    </vt:vector>
  </HeadingPairs>
  <TitlesOfParts>
    <vt:vector size="20" baseType="lpstr">
      <vt:lpstr>Dashboard</vt:lpstr>
      <vt:lpstr>BE · Models</vt:lpstr>
      <vt:lpstr>BE · DTO</vt:lpstr>
      <vt:lpstr>BE · Repository</vt:lpstr>
      <vt:lpstr>BE · Services</vt:lpstr>
      <vt:lpstr>BE · Controllers</vt:lpstr>
      <vt:lpstr>BE · Method</vt:lpstr>
      <vt:lpstr>BE · Validators</vt:lpstr>
      <vt:lpstr>BE · Infrastruttura</vt:lpstr>
      <vt:lpstr>BE · Test</vt:lpstr>
      <vt:lpstr>BE · Auth e Security</vt:lpstr>
      <vt:lpstr>BE · Jobs</vt:lpstr>
      <vt:lpstr>BE · Migration</vt:lpstr>
      <vt:lpstr>FE · Pagine</vt:lpstr>
      <vt:lpstr>FE · Componenti</vt:lpstr>
      <vt:lpstr>FE · Hook e API</vt:lpstr>
      <vt:lpstr>FE · Auth</vt:lpstr>
      <vt:lpstr>FE · Test</vt:lpstr>
      <vt:lpstr>Appunti e Step</vt:lpstr>
      <vt:lpstr>Fix e Bug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Fabio Iacurto</cp:lastModifiedBy>
  <dcterms:created xsi:type="dcterms:W3CDTF">2026-10-02T15:03:03Z</dcterms:created>
  <dcterms:modified xsi:type="dcterms:W3CDTF">2026-10-05T10:52:02Z</dcterms:modified>
</cp:coreProperties>
</file>